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/>
  <mc:AlternateContent xmlns:mc="http://schemas.openxmlformats.org/markup-compatibility/2006">
    <mc:Choice Requires="x15">
      <x15ac:absPath xmlns:x15ac="http://schemas.microsoft.com/office/spreadsheetml/2010/11/ac" url="/Users/saska/Downloads/"/>
    </mc:Choice>
  </mc:AlternateContent>
  <xr:revisionPtr revIDLastSave="0" documentId="13_ncr:1_{B50854B4-A8A7-D746-84CE-4DF22663C17B}" xr6:coauthVersionLast="47" xr6:coauthVersionMax="47" xr10:uidLastSave="{00000000-0000-0000-0000-000000000000}"/>
  <bookViews>
    <workbookView xWindow="0" yWindow="620" windowWidth="68800" windowHeight="28180" activeTab="2" xr2:uid="{00000000-000D-0000-FFFF-FFFF00000000}"/>
  </bookViews>
  <sheets>
    <sheet name="PROGRAM" sheetId="1" r:id="rId1"/>
    <sheet name="RAM" sheetId="2" r:id="rId2"/>
    <sheet name="CPU" sheetId="3" r:id="rId3"/>
  </sheets>
  <definedNames>
    <definedName name="_xlnm._FilterDatabase" localSheetId="2" hidden="1">CPU!$A$1:$AC$66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G2" i="1"/>
  <c r="L2" i="3" s="1" a="1"/>
  <c r="L2" i="3" s="1"/>
  <c r="A3" i="3"/>
  <c r="A4" i="3" s="1"/>
  <c r="A5" i="3" s="1"/>
  <c r="A6" i="3" s="1"/>
  <c r="A7" i="3" s="1"/>
  <c r="A8" i="3" s="1"/>
  <c r="A9" i="3" s="1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2" i="3" s="1"/>
  <c r="A63" i="3" s="1"/>
  <c r="A64" i="3" s="1"/>
  <c r="A65" i="3" s="1"/>
  <c r="A66" i="3" s="1"/>
  <c r="AC2" i="3"/>
  <c r="AB2" i="3"/>
  <c r="AA2" i="3"/>
  <c r="Z2" i="3"/>
  <c r="Y2" i="3"/>
  <c r="X2" i="3"/>
  <c r="W2" i="3"/>
  <c r="V2" i="3"/>
  <c r="U2" i="3"/>
  <c r="T2" i="3"/>
  <c r="S2" i="3"/>
  <c r="R2" i="3"/>
  <c r="Q2" i="3"/>
  <c r="P2" i="3"/>
  <c r="O2" i="3"/>
  <c r="N2" i="3"/>
  <c r="G257" i="1"/>
  <c r="F257" i="1"/>
  <c r="E257" i="1"/>
  <c r="H257" i="1" s="1"/>
  <c r="G256" i="1"/>
  <c r="F256" i="1"/>
  <c r="E256" i="1"/>
  <c r="H256" i="1" s="1"/>
  <c r="G255" i="1"/>
  <c r="F255" i="1"/>
  <c r="E255" i="1"/>
  <c r="H255" i="1" s="1"/>
  <c r="G254" i="1"/>
  <c r="F254" i="1"/>
  <c r="E254" i="1"/>
  <c r="H254" i="1" s="1"/>
  <c r="G253" i="1"/>
  <c r="F253" i="1"/>
  <c r="E253" i="1"/>
  <c r="H253" i="1" s="1"/>
  <c r="G252" i="1"/>
  <c r="F252" i="1"/>
  <c r="E252" i="1"/>
  <c r="H252" i="1" s="1"/>
  <c r="G251" i="1"/>
  <c r="F251" i="1"/>
  <c r="E251" i="1"/>
  <c r="H251" i="1" s="1"/>
  <c r="G250" i="1"/>
  <c r="F250" i="1"/>
  <c r="E250" i="1"/>
  <c r="H250" i="1" s="1"/>
  <c r="G249" i="1"/>
  <c r="F249" i="1"/>
  <c r="E249" i="1"/>
  <c r="H249" i="1" s="1"/>
  <c r="G248" i="1"/>
  <c r="F248" i="1"/>
  <c r="E248" i="1"/>
  <c r="H248" i="1" s="1"/>
  <c r="G247" i="1"/>
  <c r="F247" i="1"/>
  <c r="E247" i="1"/>
  <c r="H247" i="1" s="1"/>
  <c r="G246" i="1"/>
  <c r="F246" i="1"/>
  <c r="E246" i="1"/>
  <c r="H246" i="1" s="1"/>
  <c r="G245" i="1"/>
  <c r="F245" i="1"/>
  <c r="E245" i="1"/>
  <c r="H245" i="1" s="1"/>
  <c r="G244" i="1"/>
  <c r="F244" i="1"/>
  <c r="E244" i="1"/>
  <c r="H244" i="1" s="1"/>
  <c r="G243" i="1"/>
  <c r="F243" i="1"/>
  <c r="E243" i="1"/>
  <c r="H243" i="1" s="1"/>
  <c r="G242" i="1"/>
  <c r="F242" i="1"/>
  <c r="E242" i="1"/>
  <c r="H242" i="1" s="1"/>
  <c r="G241" i="1"/>
  <c r="F241" i="1"/>
  <c r="E241" i="1"/>
  <c r="H241" i="1" s="1"/>
  <c r="G240" i="1"/>
  <c r="F240" i="1"/>
  <c r="E240" i="1"/>
  <c r="H240" i="1" s="1"/>
  <c r="G239" i="1"/>
  <c r="F239" i="1"/>
  <c r="E239" i="1"/>
  <c r="H239" i="1" s="1"/>
  <c r="G238" i="1"/>
  <c r="F238" i="1"/>
  <c r="E238" i="1"/>
  <c r="H238" i="1" s="1"/>
  <c r="G237" i="1"/>
  <c r="F237" i="1"/>
  <c r="E237" i="1"/>
  <c r="H237" i="1" s="1"/>
  <c r="G236" i="1"/>
  <c r="F236" i="1"/>
  <c r="E236" i="1"/>
  <c r="H236" i="1" s="1"/>
  <c r="G235" i="1"/>
  <c r="F235" i="1"/>
  <c r="E235" i="1"/>
  <c r="H235" i="1" s="1"/>
  <c r="H234" i="1"/>
  <c r="G234" i="1"/>
  <c r="F234" i="1"/>
  <c r="E234" i="1"/>
  <c r="G233" i="1"/>
  <c r="F233" i="1"/>
  <c r="E233" i="1"/>
  <c r="H233" i="1" s="1"/>
  <c r="G232" i="1"/>
  <c r="F232" i="1"/>
  <c r="E232" i="1"/>
  <c r="H232" i="1" s="1"/>
  <c r="G231" i="1"/>
  <c r="F231" i="1"/>
  <c r="E231" i="1"/>
  <c r="H231" i="1" s="1"/>
  <c r="G230" i="1"/>
  <c r="F230" i="1"/>
  <c r="E230" i="1"/>
  <c r="H230" i="1" s="1"/>
  <c r="G229" i="1"/>
  <c r="F229" i="1"/>
  <c r="E229" i="1"/>
  <c r="H229" i="1" s="1"/>
  <c r="G228" i="1"/>
  <c r="F228" i="1"/>
  <c r="E228" i="1"/>
  <c r="H228" i="1" s="1"/>
  <c r="G227" i="1"/>
  <c r="F227" i="1"/>
  <c r="E227" i="1"/>
  <c r="H227" i="1" s="1"/>
  <c r="G226" i="1"/>
  <c r="F226" i="1"/>
  <c r="E226" i="1"/>
  <c r="H226" i="1" s="1"/>
  <c r="G225" i="1"/>
  <c r="F225" i="1"/>
  <c r="E225" i="1"/>
  <c r="H225" i="1" s="1"/>
  <c r="H224" i="1"/>
  <c r="G224" i="1"/>
  <c r="F224" i="1"/>
  <c r="E224" i="1"/>
  <c r="G223" i="1"/>
  <c r="F223" i="1"/>
  <c r="E223" i="1"/>
  <c r="H223" i="1" s="1"/>
  <c r="G222" i="1"/>
  <c r="F222" i="1"/>
  <c r="E222" i="1"/>
  <c r="H222" i="1" s="1"/>
  <c r="G221" i="1"/>
  <c r="F221" i="1"/>
  <c r="E221" i="1"/>
  <c r="H221" i="1" s="1"/>
  <c r="G220" i="1"/>
  <c r="F220" i="1"/>
  <c r="E220" i="1"/>
  <c r="H220" i="1" s="1"/>
  <c r="G219" i="1"/>
  <c r="F219" i="1"/>
  <c r="E219" i="1"/>
  <c r="H219" i="1" s="1"/>
  <c r="G218" i="1"/>
  <c r="F218" i="1"/>
  <c r="E218" i="1"/>
  <c r="H218" i="1" s="1"/>
  <c r="G217" i="1"/>
  <c r="F217" i="1"/>
  <c r="E217" i="1"/>
  <c r="H217" i="1" s="1"/>
  <c r="G216" i="1"/>
  <c r="F216" i="1"/>
  <c r="E216" i="1"/>
  <c r="H216" i="1" s="1"/>
  <c r="G215" i="1"/>
  <c r="F215" i="1"/>
  <c r="E215" i="1"/>
  <c r="H215" i="1" s="1"/>
  <c r="G214" i="1"/>
  <c r="F214" i="1"/>
  <c r="E214" i="1"/>
  <c r="H214" i="1" s="1"/>
  <c r="G213" i="1"/>
  <c r="F213" i="1"/>
  <c r="E213" i="1"/>
  <c r="H213" i="1" s="1"/>
  <c r="G212" i="1"/>
  <c r="F212" i="1"/>
  <c r="E212" i="1"/>
  <c r="H212" i="1" s="1"/>
  <c r="G211" i="1"/>
  <c r="F211" i="1"/>
  <c r="E211" i="1"/>
  <c r="H211" i="1" s="1"/>
  <c r="G210" i="1"/>
  <c r="F210" i="1"/>
  <c r="E210" i="1"/>
  <c r="H210" i="1" s="1"/>
  <c r="G209" i="1"/>
  <c r="F209" i="1"/>
  <c r="E209" i="1"/>
  <c r="H209" i="1" s="1"/>
  <c r="G208" i="1"/>
  <c r="F208" i="1"/>
  <c r="E208" i="1"/>
  <c r="H208" i="1" s="1"/>
  <c r="H207" i="1"/>
  <c r="G207" i="1"/>
  <c r="F207" i="1"/>
  <c r="E207" i="1"/>
  <c r="G206" i="1"/>
  <c r="F206" i="1"/>
  <c r="E206" i="1"/>
  <c r="H206" i="1" s="1"/>
  <c r="G205" i="1"/>
  <c r="F205" i="1"/>
  <c r="E205" i="1"/>
  <c r="H205" i="1" s="1"/>
  <c r="G204" i="1"/>
  <c r="F204" i="1"/>
  <c r="E204" i="1"/>
  <c r="H204" i="1" s="1"/>
  <c r="G203" i="1"/>
  <c r="F203" i="1"/>
  <c r="E203" i="1"/>
  <c r="H203" i="1" s="1"/>
  <c r="H202" i="1"/>
  <c r="G202" i="1"/>
  <c r="F202" i="1"/>
  <c r="E202" i="1"/>
  <c r="G201" i="1"/>
  <c r="F201" i="1"/>
  <c r="E201" i="1"/>
  <c r="H201" i="1" s="1"/>
  <c r="G200" i="1"/>
  <c r="F200" i="1"/>
  <c r="E200" i="1"/>
  <c r="H200" i="1" s="1"/>
  <c r="G199" i="1"/>
  <c r="F199" i="1"/>
  <c r="E199" i="1"/>
  <c r="H199" i="1" s="1"/>
  <c r="G198" i="1"/>
  <c r="F198" i="1"/>
  <c r="E198" i="1"/>
  <c r="H198" i="1" s="1"/>
  <c r="G197" i="1"/>
  <c r="F197" i="1"/>
  <c r="E197" i="1"/>
  <c r="H197" i="1" s="1"/>
  <c r="G196" i="1"/>
  <c r="F196" i="1"/>
  <c r="E196" i="1"/>
  <c r="H196" i="1" s="1"/>
  <c r="G195" i="1"/>
  <c r="F195" i="1"/>
  <c r="E195" i="1"/>
  <c r="H195" i="1" s="1"/>
  <c r="G194" i="1"/>
  <c r="F194" i="1"/>
  <c r="E194" i="1"/>
  <c r="H194" i="1" s="1"/>
  <c r="G193" i="1"/>
  <c r="F193" i="1"/>
  <c r="E193" i="1"/>
  <c r="H193" i="1" s="1"/>
  <c r="G192" i="1"/>
  <c r="F192" i="1"/>
  <c r="E192" i="1"/>
  <c r="H192" i="1" s="1"/>
  <c r="G191" i="1"/>
  <c r="F191" i="1"/>
  <c r="E191" i="1"/>
  <c r="H191" i="1" s="1"/>
  <c r="G190" i="1"/>
  <c r="F190" i="1"/>
  <c r="E190" i="1"/>
  <c r="H190" i="1" s="1"/>
  <c r="G189" i="1"/>
  <c r="F189" i="1"/>
  <c r="E189" i="1"/>
  <c r="H189" i="1" s="1"/>
  <c r="G188" i="1"/>
  <c r="F188" i="1"/>
  <c r="E188" i="1"/>
  <c r="H188" i="1" s="1"/>
  <c r="G187" i="1"/>
  <c r="F187" i="1"/>
  <c r="E187" i="1"/>
  <c r="H187" i="1" s="1"/>
  <c r="H186" i="1"/>
  <c r="G186" i="1"/>
  <c r="F186" i="1"/>
  <c r="E186" i="1"/>
  <c r="G185" i="1"/>
  <c r="F185" i="1"/>
  <c r="E185" i="1"/>
  <c r="H185" i="1" s="1"/>
  <c r="G184" i="1"/>
  <c r="F184" i="1"/>
  <c r="E184" i="1"/>
  <c r="H184" i="1" s="1"/>
  <c r="H183" i="1"/>
  <c r="G183" i="1"/>
  <c r="F183" i="1"/>
  <c r="E183" i="1"/>
  <c r="G182" i="1"/>
  <c r="F182" i="1"/>
  <c r="E182" i="1"/>
  <c r="H182" i="1" s="1"/>
  <c r="G181" i="1"/>
  <c r="F181" i="1"/>
  <c r="E181" i="1"/>
  <c r="H181" i="1" s="1"/>
  <c r="G180" i="1"/>
  <c r="F180" i="1"/>
  <c r="E180" i="1"/>
  <c r="H180" i="1" s="1"/>
  <c r="G179" i="1"/>
  <c r="F179" i="1"/>
  <c r="E179" i="1"/>
  <c r="H179" i="1" s="1"/>
  <c r="G178" i="1"/>
  <c r="F178" i="1"/>
  <c r="E178" i="1"/>
  <c r="H178" i="1" s="1"/>
  <c r="G177" i="1"/>
  <c r="F177" i="1"/>
  <c r="E177" i="1"/>
  <c r="H177" i="1" s="1"/>
  <c r="G176" i="1"/>
  <c r="F176" i="1"/>
  <c r="E176" i="1"/>
  <c r="H176" i="1" s="1"/>
  <c r="G175" i="1"/>
  <c r="F175" i="1"/>
  <c r="E175" i="1"/>
  <c r="H175" i="1" s="1"/>
  <c r="H174" i="1"/>
  <c r="G174" i="1"/>
  <c r="F174" i="1"/>
  <c r="E174" i="1"/>
  <c r="G173" i="1"/>
  <c r="F173" i="1"/>
  <c r="E173" i="1"/>
  <c r="H173" i="1" s="1"/>
  <c r="G172" i="1"/>
  <c r="F172" i="1"/>
  <c r="E172" i="1"/>
  <c r="H172" i="1" s="1"/>
  <c r="G171" i="1"/>
  <c r="F171" i="1"/>
  <c r="E171" i="1"/>
  <c r="H171" i="1" s="1"/>
  <c r="G170" i="1"/>
  <c r="F170" i="1"/>
  <c r="E170" i="1"/>
  <c r="H170" i="1" s="1"/>
  <c r="G169" i="1"/>
  <c r="F169" i="1"/>
  <c r="E169" i="1"/>
  <c r="H169" i="1" s="1"/>
  <c r="G168" i="1"/>
  <c r="F168" i="1"/>
  <c r="E168" i="1"/>
  <c r="H168" i="1" s="1"/>
  <c r="G167" i="1"/>
  <c r="F167" i="1"/>
  <c r="E167" i="1"/>
  <c r="H167" i="1" s="1"/>
  <c r="G166" i="1"/>
  <c r="F166" i="1"/>
  <c r="E166" i="1"/>
  <c r="H166" i="1" s="1"/>
  <c r="G165" i="1"/>
  <c r="F165" i="1"/>
  <c r="E165" i="1"/>
  <c r="H165" i="1" s="1"/>
  <c r="H164" i="1"/>
  <c r="G164" i="1"/>
  <c r="F164" i="1"/>
  <c r="E164" i="1"/>
  <c r="G163" i="1"/>
  <c r="F163" i="1"/>
  <c r="E163" i="1"/>
  <c r="H163" i="1" s="1"/>
  <c r="G162" i="1"/>
  <c r="F162" i="1"/>
  <c r="E162" i="1"/>
  <c r="H162" i="1" s="1"/>
  <c r="G161" i="1"/>
  <c r="F161" i="1"/>
  <c r="E161" i="1"/>
  <c r="H161" i="1" s="1"/>
  <c r="G160" i="1"/>
  <c r="F160" i="1"/>
  <c r="E160" i="1"/>
  <c r="H160" i="1" s="1"/>
  <c r="G159" i="1"/>
  <c r="F159" i="1"/>
  <c r="E159" i="1"/>
  <c r="H159" i="1" s="1"/>
  <c r="G158" i="1"/>
  <c r="F158" i="1"/>
  <c r="E158" i="1"/>
  <c r="H158" i="1" s="1"/>
  <c r="G157" i="1"/>
  <c r="F157" i="1"/>
  <c r="E157" i="1"/>
  <c r="H157" i="1" s="1"/>
  <c r="G156" i="1"/>
  <c r="F156" i="1"/>
  <c r="E156" i="1"/>
  <c r="H156" i="1" s="1"/>
  <c r="G155" i="1"/>
  <c r="F155" i="1"/>
  <c r="E155" i="1"/>
  <c r="H155" i="1" s="1"/>
  <c r="G154" i="1"/>
  <c r="F154" i="1"/>
  <c r="E154" i="1"/>
  <c r="H154" i="1" s="1"/>
  <c r="G153" i="1"/>
  <c r="F153" i="1"/>
  <c r="E153" i="1"/>
  <c r="H153" i="1" s="1"/>
  <c r="G152" i="1"/>
  <c r="F152" i="1"/>
  <c r="E152" i="1"/>
  <c r="H152" i="1" s="1"/>
  <c r="G151" i="1"/>
  <c r="F151" i="1"/>
  <c r="E151" i="1"/>
  <c r="H151" i="1" s="1"/>
  <c r="G150" i="1"/>
  <c r="F150" i="1"/>
  <c r="E150" i="1"/>
  <c r="H150" i="1" s="1"/>
  <c r="G149" i="1"/>
  <c r="F149" i="1"/>
  <c r="E149" i="1"/>
  <c r="H149" i="1" s="1"/>
  <c r="G148" i="1"/>
  <c r="F148" i="1"/>
  <c r="E148" i="1"/>
  <c r="H148" i="1" s="1"/>
  <c r="G147" i="1"/>
  <c r="F147" i="1"/>
  <c r="E147" i="1"/>
  <c r="H147" i="1" s="1"/>
  <c r="G146" i="1"/>
  <c r="F146" i="1"/>
  <c r="E146" i="1"/>
  <c r="H146" i="1" s="1"/>
  <c r="G145" i="1"/>
  <c r="F145" i="1"/>
  <c r="E145" i="1"/>
  <c r="H145" i="1" s="1"/>
  <c r="G144" i="1"/>
  <c r="F144" i="1"/>
  <c r="E144" i="1"/>
  <c r="H144" i="1" s="1"/>
  <c r="G143" i="1"/>
  <c r="F143" i="1"/>
  <c r="E143" i="1"/>
  <c r="H143" i="1" s="1"/>
  <c r="G142" i="1"/>
  <c r="F142" i="1"/>
  <c r="E142" i="1"/>
  <c r="H142" i="1" s="1"/>
  <c r="G141" i="1"/>
  <c r="F141" i="1"/>
  <c r="E141" i="1"/>
  <c r="H141" i="1" s="1"/>
  <c r="G140" i="1"/>
  <c r="F140" i="1"/>
  <c r="E140" i="1"/>
  <c r="H140" i="1" s="1"/>
  <c r="G139" i="1"/>
  <c r="F139" i="1"/>
  <c r="E139" i="1"/>
  <c r="H139" i="1" s="1"/>
  <c r="G138" i="1"/>
  <c r="F138" i="1"/>
  <c r="E138" i="1"/>
  <c r="H138" i="1" s="1"/>
  <c r="G137" i="1"/>
  <c r="F137" i="1"/>
  <c r="E137" i="1"/>
  <c r="H137" i="1" s="1"/>
  <c r="G136" i="1"/>
  <c r="F136" i="1"/>
  <c r="E136" i="1"/>
  <c r="H136" i="1" s="1"/>
  <c r="G135" i="1"/>
  <c r="F135" i="1"/>
  <c r="E135" i="1"/>
  <c r="H135" i="1" s="1"/>
  <c r="G134" i="1"/>
  <c r="F134" i="1"/>
  <c r="E134" i="1"/>
  <c r="H134" i="1" s="1"/>
  <c r="G133" i="1"/>
  <c r="F133" i="1"/>
  <c r="E133" i="1"/>
  <c r="H133" i="1" s="1"/>
  <c r="G132" i="1"/>
  <c r="F132" i="1"/>
  <c r="E132" i="1"/>
  <c r="H132" i="1" s="1"/>
  <c r="G131" i="1"/>
  <c r="F131" i="1"/>
  <c r="E131" i="1"/>
  <c r="H131" i="1" s="1"/>
  <c r="G130" i="1"/>
  <c r="F130" i="1"/>
  <c r="E130" i="1"/>
  <c r="H130" i="1" s="1"/>
  <c r="G129" i="1"/>
  <c r="F129" i="1"/>
  <c r="E129" i="1"/>
  <c r="H129" i="1" s="1"/>
  <c r="G128" i="1"/>
  <c r="F128" i="1"/>
  <c r="E128" i="1"/>
  <c r="H128" i="1" s="1"/>
  <c r="G127" i="1"/>
  <c r="F127" i="1"/>
  <c r="E127" i="1"/>
  <c r="H127" i="1" s="1"/>
  <c r="G126" i="1"/>
  <c r="F126" i="1"/>
  <c r="E126" i="1"/>
  <c r="H126" i="1" s="1"/>
  <c r="H125" i="1"/>
  <c r="G125" i="1"/>
  <c r="F125" i="1"/>
  <c r="E125" i="1"/>
  <c r="G124" i="1"/>
  <c r="F124" i="1"/>
  <c r="E124" i="1"/>
  <c r="H124" i="1" s="1"/>
  <c r="G123" i="1"/>
  <c r="F123" i="1"/>
  <c r="E123" i="1"/>
  <c r="H123" i="1" s="1"/>
  <c r="G122" i="1"/>
  <c r="F122" i="1"/>
  <c r="E122" i="1"/>
  <c r="H122" i="1" s="1"/>
  <c r="G121" i="1"/>
  <c r="F121" i="1"/>
  <c r="E121" i="1"/>
  <c r="H121" i="1" s="1"/>
  <c r="G120" i="1"/>
  <c r="F120" i="1"/>
  <c r="E120" i="1"/>
  <c r="H120" i="1" s="1"/>
  <c r="G119" i="1"/>
  <c r="F119" i="1"/>
  <c r="E119" i="1"/>
  <c r="H119" i="1" s="1"/>
  <c r="G118" i="1"/>
  <c r="F118" i="1"/>
  <c r="E118" i="1"/>
  <c r="H118" i="1" s="1"/>
  <c r="G117" i="1"/>
  <c r="F117" i="1"/>
  <c r="E117" i="1"/>
  <c r="H117" i="1" s="1"/>
  <c r="G116" i="1"/>
  <c r="F116" i="1"/>
  <c r="E116" i="1"/>
  <c r="H116" i="1" s="1"/>
  <c r="G115" i="1"/>
  <c r="F115" i="1"/>
  <c r="E115" i="1"/>
  <c r="H115" i="1" s="1"/>
  <c r="G114" i="1"/>
  <c r="F114" i="1"/>
  <c r="E114" i="1"/>
  <c r="H114" i="1" s="1"/>
  <c r="G113" i="1"/>
  <c r="F113" i="1"/>
  <c r="E113" i="1"/>
  <c r="H113" i="1" s="1"/>
  <c r="G112" i="1"/>
  <c r="F112" i="1"/>
  <c r="E112" i="1"/>
  <c r="H112" i="1" s="1"/>
  <c r="H111" i="1"/>
  <c r="G111" i="1"/>
  <c r="F111" i="1"/>
  <c r="E111" i="1"/>
  <c r="G110" i="1"/>
  <c r="F110" i="1"/>
  <c r="E110" i="1"/>
  <c r="H110" i="1" s="1"/>
  <c r="G109" i="1"/>
  <c r="F109" i="1"/>
  <c r="E109" i="1"/>
  <c r="H109" i="1" s="1"/>
  <c r="H108" i="1"/>
  <c r="G108" i="1"/>
  <c r="F108" i="1"/>
  <c r="E108" i="1"/>
  <c r="G107" i="1"/>
  <c r="F107" i="1"/>
  <c r="E107" i="1"/>
  <c r="H107" i="1" s="1"/>
  <c r="G106" i="1"/>
  <c r="F106" i="1"/>
  <c r="E106" i="1"/>
  <c r="H106" i="1" s="1"/>
  <c r="G105" i="1"/>
  <c r="F105" i="1"/>
  <c r="E105" i="1"/>
  <c r="H105" i="1" s="1"/>
  <c r="G104" i="1"/>
  <c r="F104" i="1"/>
  <c r="E104" i="1"/>
  <c r="H104" i="1" s="1"/>
  <c r="G103" i="1"/>
  <c r="F103" i="1"/>
  <c r="E103" i="1"/>
  <c r="H103" i="1" s="1"/>
  <c r="G102" i="1"/>
  <c r="F102" i="1"/>
  <c r="E102" i="1"/>
  <c r="H102" i="1" s="1"/>
  <c r="G101" i="1"/>
  <c r="F101" i="1"/>
  <c r="E101" i="1"/>
  <c r="H101" i="1" s="1"/>
  <c r="G100" i="1"/>
  <c r="F100" i="1"/>
  <c r="E100" i="1"/>
  <c r="H100" i="1" s="1"/>
  <c r="G99" i="1"/>
  <c r="F99" i="1"/>
  <c r="E99" i="1"/>
  <c r="H99" i="1" s="1"/>
  <c r="G98" i="1"/>
  <c r="F98" i="1"/>
  <c r="E98" i="1"/>
  <c r="H98" i="1" s="1"/>
  <c r="G97" i="1"/>
  <c r="F97" i="1"/>
  <c r="E97" i="1"/>
  <c r="H97" i="1" s="1"/>
  <c r="G96" i="1"/>
  <c r="F96" i="1"/>
  <c r="E96" i="1"/>
  <c r="H96" i="1" s="1"/>
  <c r="G95" i="1"/>
  <c r="F95" i="1"/>
  <c r="E95" i="1"/>
  <c r="H95" i="1" s="1"/>
  <c r="H94" i="1"/>
  <c r="G94" i="1"/>
  <c r="F94" i="1"/>
  <c r="E94" i="1"/>
  <c r="G93" i="1"/>
  <c r="F93" i="1"/>
  <c r="E93" i="1"/>
  <c r="H93" i="1" s="1"/>
  <c r="G92" i="1"/>
  <c r="F92" i="1"/>
  <c r="E92" i="1"/>
  <c r="H92" i="1" s="1"/>
  <c r="G91" i="1"/>
  <c r="F91" i="1"/>
  <c r="E91" i="1"/>
  <c r="H91" i="1" s="1"/>
  <c r="G90" i="1"/>
  <c r="F90" i="1"/>
  <c r="E90" i="1"/>
  <c r="H90" i="1" s="1"/>
  <c r="G89" i="1"/>
  <c r="F89" i="1"/>
  <c r="E89" i="1"/>
  <c r="H89" i="1" s="1"/>
  <c r="G88" i="1"/>
  <c r="F88" i="1"/>
  <c r="E88" i="1"/>
  <c r="H88" i="1" s="1"/>
  <c r="G87" i="1"/>
  <c r="F87" i="1"/>
  <c r="E87" i="1"/>
  <c r="H87" i="1" s="1"/>
  <c r="G86" i="1"/>
  <c r="F86" i="1"/>
  <c r="E86" i="1"/>
  <c r="H86" i="1" s="1"/>
  <c r="G85" i="1"/>
  <c r="F85" i="1"/>
  <c r="E85" i="1"/>
  <c r="H85" i="1" s="1"/>
  <c r="G84" i="1"/>
  <c r="F84" i="1"/>
  <c r="E84" i="1"/>
  <c r="H84" i="1" s="1"/>
  <c r="G83" i="1"/>
  <c r="F83" i="1"/>
  <c r="E83" i="1"/>
  <c r="H83" i="1" s="1"/>
  <c r="G82" i="1"/>
  <c r="F82" i="1"/>
  <c r="E82" i="1"/>
  <c r="H82" i="1" s="1"/>
  <c r="G81" i="1"/>
  <c r="F81" i="1"/>
  <c r="E81" i="1"/>
  <c r="H81" i="1" s="1"/>
  <c r="G80" i="1"/>
  <c r="F80" i="1"/>
  <c r="E80" i="1"/>
  <c r="H80" i="1" s="1"/>
  <c r="G79" i="1"/>
  <c r="F79" i="1"/>
  <c r="E79" i="1"/>
  <c r="H79" i="1" s="1"/>
  <c r="G78" i="1"/>
  <c r="F78" i="1"/>
  <c r="E78" i="1"/>
  <c r="H78" i="1" s="1"/>
  <c r="G77" i="1"/>
  <c r="F77" i="1"/>
  <c r="E77" i="1"/>
  <c r="H77" i="1" s="1"/>
  <c r="G76" i="1"/>
  <c r="F76" i="1"/>
  <c r="E76" i="1"/>
  <c r="H76" i="1" s="1"/>
  <c r="G75" i="1"/>
  <c r="F75" i="1"/>
  <c r="E75" i="1"/>
  <c r="H75" i="1" s="1"/>
  <c r="G74" i="1"/>
  <c r="F74" i="1"/>
  <c r="E74" i="1"/>
  <c r="H74" i="1" s="1"/>
  <c r="G73" i="1"/>
  <c r="F73" i="1"/>
  <c r="E73" i="1"/>
  <c r="H73" i="1" s="1"/>
  <c r="G72" i="1"/>
  <c r="F72" i="1"/>
  <c r="E72" i="1"/>
  <c r="H72" i="1" s="1"/>
  <c r="G71" i="1"/>
  <c r="F71" i="1"/>
  <c r="E71" i="1"/>
  <c r="H71" i="1" s="1"/>
  <c r="H70" i="1"/>
  <c r="G70" i="1"/>
  <c r="F70" i="1"/>
  <c r="E70" i="1"/>
  <c r="G69" i="1"/>
  <c r="F69" i="1"/>
  <c r="E69" i="1"/>
  <c r="H69" i="1" s="1"/>
  <c r="G68" i="1"/>
  <c r="F68" i="1"/>
  <c r="E68" i="1"/>
  <c r="H68" i="1" s="1"/>
  <c r="G67" i="1"/>
  <c r="F67" i="1"/>
  <c r="E67" i="1"/>
  <c r="H67" i="1" s="1"/>
  <c r="G66" i="1"/>
  <c r="F66" i="1"/>
  <c r="E66" i="1"/>
  <c r="H66" i="1" s="1"/>
  <c r="G65" i="1"/>
  <c r="F65" i="1"/>
  <c r="E65" i="1"/>
  <c r="H65" i="1" s="1"/>
  <c r="G64" i="1"/>
  <c r="F64" i="1"/>
  <c r="E64" i="1"/>
  <c r="H64" i="1" s="1"/>
  <c r="G63" i="1"/>
  <c r="F63" i="1"/>
  <c r="E63" i="1"/>
  <c r="H63" i="1" s="1"/>
  <c r="G62" i="1"/>
  <c r="F62" i="1"/>
  <c r="E62" i="1"/>
  <c r="H62" i="1" s="1"/>
  <c r="G61" i="1"/>
  <c r="F61" i="1"/>
  <c r="E61" i="1"/>
  <c r="H61" i="1" s="1"/>
  <c r="G60" i="1"/>
  <c r="F60" i="1"/>
  <c r="E60" i="1"/>
  <c r="H60" i="1" s="1"/>
  <c r="G59" i="1"/>
  <c r="F59" i="1"/>
  <c r="E59" i="1"/>
  <c r="H59" i="1" s="1"/>
  <c r="G58" i="1"/>
  <c r="F58" i="1"/>
  <c r="E58" i="1"/>
  <c r="H58" i="1" s="1"/>
  <c r="G57" i="1"/>
  <c r="F57" i="1"/>
  <c r="E57" i="1"/>
  <c r="H57" i="1" s="1"/>
  <c r="H56" i="1"/>
  <c r="G56" i="1"/>
  <c r="F56" i="1"/>
  <c r="E56" i="1"/>
  <c r="G55" i="1"/>
  <c r="F55" i="1"/>
  <c r="E55" i="1"/>
  <c r="H55" i="1" s="1"/>
  <c r="G54" i="1"/>
  <c r="F54" i="1"/>
  <c r="E54" i="1"/>
  <c r="H54" i="1" s="1"/>
  <c r="G53" i="1"/>
  <c r="F53" i="1"/>
  <c r="E53" i="1"/>
  <c r="H53" i="1" s="1"/>
  <c r="G52" i="1"/>
  <c r="F52" i="1"/>
  <c r="E52" i="1"/>
  <c r="H52" i="1" s="1"/>
  <c r="G51" i="1"/>
  <c r="F51" i="1"/>
  <c r="E51" i="1"/>
  <c r="H51" i="1" s="1"/>
  <c r="G50" i="1"/>
  <c r="F50" i="1"/>
  <c r="E50" i="1"/>
  <c r="H50" i="1" s="1"/>
  <c r="G49" i="1"/>
  <c r="F49" i="1"/>
  <c r="E49" i="1"/>
  <c r="H49" i="1" s="1"/>
  <c r="G48" i="1"/>
  <c r="F48" i="1"/>
  <c r="E48" i="1"/>
  <c r="H48" i="1" s="1"/>
  <c r="G47" i="1"/>
  <c r="F47" i="1"/>
  <c r="E47" i="1"/>
  <c r="H47" i="1" s="1"/>
  <c r="G46" i="1"/>
  <c r="F46" i="1"/>
  <c r="E46" i="1"/>
  <c r="H46" i="1" s="1"/>
  <c r="G45" i="1"/>
  <c r="F45" i="1"/>
  <c r="E45" i="1"/>
  <c r="H45" i="1" s="1"/>
  <c r="G44" i="1"/>
  <c r="F44" i="1"/>
  <c r="E44" i="1"/>
  <c r="H44" i="1" s="1"/>
  <c r="G43" i="1"/>
  <c r="F43" i="1"/>
  <c r="E43" i="1"/>
  <c r="H43" i="1" s="1"/>
  <c r="G42" i="1"/>
  <c r="F42" i="1"/>
  <c r="E42" i="1"/>
  <c r="H42" i="1" s="1"/>
  <c r="G41" i="1"/>
  <c r="F41" i="1"/>
  <c r="E41" i="1"/>
  <c r="H41" i="1" s="1"/>
  <c r="H40" i="1"/>
  <c r="G40" i="1"/>
  <c r="F40" i="1"/>
  <c r="E40" i="1"/>
  <c r="G39" i="1"/>
  <c r="F39" i="1"/>
  <c r="E39" i="1"/>
  <c r="H39" i="1" s="1"/>
  <c r="G38" i="1"/>
  <c r="F38" i="1"/>
  <c r="E38" i="1"/>
  <c r="H38" i="1" s="1"/>
  <c r="G37" i="1"/>
  <c r="F37" i="1"/>
  <c r="E37" i="1"/>
  <c r="H37" i="1" s="1"/>
  <c r="G36" i="1"/>
  <c r="F36" i="1"/>
  <c r="E36" i="1"/>
  <c r="H36" i="1" s="1"/>
  <c r="G35" i="1"/>
  <c r="F35" i="1"/>
  <c r="E35" i="1"/>
  <c r="H35" i="1" s="1"/>
  <c r="G34" i="1"/>
  <c r="F34" i="1"/>
  <c r="E34" i="1"/>
  <c r="H34" i="1" s="1"/>
  <c r="G33" i="1"/>
  <c r="F33" i="1"/>
  <c r="E33" i="1"/>
  <c r="H33" i="1" s="1"/>
  <c r="G32" i="1"/>
  <c r="F32" i="1"/>
  <c r="E32" i="1"/>
  <c r="H32" i="1" s="1"/>
  <c r="G31" i="1"/>
  <c r="F31" i="1"/>
  <c r="E31" i="1"/>
  <c r="H31" i="1" s="1"/>
  <c r="G30" i="1"/>
  <c r="F30" i="1"/>
  <c r="E30" i="1"/>
  <c r="H30" i="1" s="1"/>
  <c r="G29" i="1"/>
  <c r="F29" i="1"/>
  <c r="E29" i="1"/>
  <c r="H29" i="1" s="1"/>
  <c r="H28" i="1"/>
  <c r="G28" i="1"/>
  <c r="F28" i="1"/>
  <c r="E28" i="1"/>
  <c r="G27" i="1"/>
  <c r="F27" i="1"/>
  <c r="E27" i="1"/>
  <c r="H27" i="1" s="1"/>
  <c r="G26" i="1"/>
  <c r="F26" i="1"/>
  <c r="E26" i="1"/>
  <c r="H26" i="1" s="1"/>
  <c r="G25" i="1"/>
  <c r="F25" i="1"/>
  <c r="E25" i="1"/>
  <c r="H25" i="1" s="1"/>
  <c r="G24" i="1"/>
  <c r="F24" i="1"/>
  <c r="E24" i="1"/>
  <c r="H24" i="1" s="1"/>
  <c r="G23" i="1"/>
  <c r="F23" i="1"/>
  <c r="E23" i="1"/>
  <c r="H23" i="1" s="1"/>
  <c r="G22" i="1"/>
  <c r="F22" i="1"/>
  <c r="E22" i="1"/>
  <c r="H22" i="1" s="1"/>
  <c r="G21" i="1"/>
  <c r="F21" i="1"/>
  <c r="E21" i="1"/>
  <c r="H21" i="1" s="1"/>
  <c r="G20" i="1"/>
  <c r="F20" i="1"/>
  <c r="E20" i="1"/>
  <c r="H20" i="1" s="1"/>
  <c r="G19" i="1"/>
  <c r="F19" i="1"/>
  <c r="E19" i="1"/>
  <c r="H19" i="1" s="1"/>
  <c r="H18" i="1"/>
  <c r="G18" i="1"/>
  <c r="F18" i="1"/>
  <c r="E18" i="1"/>
  <c r="G17" i="1"/>
  <c r="F17" i="1"/>
  <c r="E17" i="1"/>
  <c r="H17" i="1" s="1"/>
  <c r="G16" i="1"/>
  <c r="F16" i="1"/>
  <c r="E16" i="1"/>
  <c r="H16" i="1" s="1"/>
  <c r="G15" i="1"/>
  <c r="F15" i="1"/>
  <c r="E15" i="1"/>
  <c r="H15" i="1" s="1"/>
  <c r="H14" i="1"/>
  <c r="G14" i="1"/>
  <c r="F14" i="1"/>
  <c r="E14" i="1"/>
  <c r="G13" i="1"/>
  <c r="F13" i="1"/>
  <c r="E13" i="1"/>
  <c r="H13" i="1" s="1"/>
  <c r="G12" i="1"/>
  <c r="F12" i="1"/>
  <c r="E12" i="1"/>
  <c r="H12" i="1" s="1"/>
  <c r="G11" i="1"/>
  <c r="F11" i="1"/>
  <c r="E11" i="1"/>
  <c r="H11" i="1" s="1"/>
  <c r="G10" i="1"/>
  <c r="F10" i="1"/>
  <c r="E10" i="1"/>
  <c r="G9" i="1"/>
  <c r="F9" i="1"/>
  <c r="E9" i="1"/>
  <c r="F8" i="1"/>
  <c r="E8" i="1"/>
  <c r="F7" i="1"/>
  <c r="E7" i="1"/>
  <c r="F6" i="1"/>
  <c r="E6" i="1"/>
  <c r="G6" i="1" s="1"/>
  <c r="G5" i="1"/>
  <c r="F5" i="1"/>
  <c r="E5" i="1"/>
  <c r="F4" i="1"/>
  <c r="E4" i="1"/>
  <c r="G4" i="1" s="1"/>
  <c r="G3" i="1"/>
  <c r="F3" i="1"/>
  <c r="F2" i="1"/>
  <c r="K2" i="3" s="1" a="1"/>
  <c r="K2" i="3" s="1"/>
  <c r="E2" i="1"/>
  <c r="J2" i="3" s="1" a="1"/>
  <c r="J2" i="3" s="1"/>
  <c r="C3" i="3" l="1" a="1"/>
  <c r="C3" i="3" s="1"/>
  <c r="H10" i="1"/>
  <c r="H4" i="1"/>
  <c r="G8" i="1"/>
  <c r="H8" i="1" s="1"/>
  <c r="H9" i="1"/>
  <c r="H5" i="1"/>
  <c r="G7" i="1"/>
  <c r="H7" i="1" s="1"/>
  <c r="H6" i="1"/>
  <c r="H2" i="1"/>
  <c r="F3" i="3" a="1"/>
  <c r="F3" i="3" s="1"/>
  <c r="E3" i="3" a="1"/>
  <c r="E3" i="3" s="1"/>
  <c r="D3" i="3" a="1"/>
  <c r="D3" i="3" s="1"/>
  <c r="AA3" i="3"/>
  <c r="T3" i="3"/>
  <c r="S3" i="3"/>
  <c r="P3" i="3"/>
  <c r="N3" i="3"/>
  <c r="I3" i="3"/>
  <c r="G3" i="3"/>
  <c r="Q3" i="3"/>
  <c r="U3" i="3"/>
  <c r="X3" i="3"/>
  <c r="R3" i="3"/>
  <c r="V3" i="3"/>
  <c r="W3" i="3"/>
  <c r="H3" i="1"/>
  <c r="H3" i="3"/>
  <c r="AC3" i="3"/>
  <c r="AB3" i="3"/>
  <c r="M3" i="3"/>
  <c r="Z3" i="3"/>
  <c r="Y3" i="3"/>
  <c r="O3" i="3"/>
  <c r="B3" i="3"/>
  <c r="J3" i="3" l="1" a="1"/>
  <c r="J3" i="3" s="1"/>
  <c r="P4" i="3" s="1"/>
  <c r="K3" i="3" a="1"/>
  <c r="K3" i="3" s="1"/>
  <c r="L3" i="3" a="1"/>
  <c r="L3" i="3" s="1"/>
  <c r="C4" i="3" l="1" a="1"/>
  <c r="C4" i="3" s="1"/>
  <c r="Q4" i="3"/>
  <c r="N4" i="3"/>
  <c r="AB4" i="3"/>
  <c r="AC4" i="3"/>
  <c r="I4" i="3"/>
  <c r="W4" i="3"/>
  <c r="X4" i="3"/>
  <c r="Y4" i="3"/>
  <c r="T4" i="3"/>
  <c r="F4" i="3" a="1"/>
  <c r="F4" i="3" s="1"/>
  <c r="V4" i="3"/>
  <c r="U4" i="3"/>
  <c r="Z4" i="3"/>
  <c r="B4" i="3"/>
  <c r="J4" i="3" s="1" a="1"/>
  <c r="J4" i="3" s="1"/>
  <c r="G4" i="3"/>
  <c r="M4" i="3"/>
  <c r="O4" i="3"/>
  <c r="H4" i="3"/>
  <c r="E4" i="3" a="1"/>
  <c r="E4" i="3" s="1"/>
  <c r="D4" i="3" a="1"/>
  <c r="D4" i="3" s="1"/>
  <c r="AA4" i="3"/>
  <c r="R4" i="3"/>
  <c r="S4" i="3"/>
  <c r="N5" i="3" l="1"/>
  <c r="L4" i="3" a="1"/>
  <c r="L4" i="3" s="1"/>
  <c r="K4" i="3" a="1"/>
  <c r="K4" i="3" s="1"/>
  <c r="E5" i="3" s="1" a="1"/>
  <c r="E5" i="3" s="1"/>
  <c r="O5" i="3"/>
  <c r="P5" i="3"/>
  <c r="Z5" i="3"/>
  <c r="AB5" i="3"/>
  <c r="T5" i="3"/>
  <c r="Q5" i="3"/>
  <c r="U5" i="3"/>
  <c r="X5" i="3"/>
  <c r="Y5" i="3"/>
  <c r="W5" i="3"/>
  <c r="AC5" i="3"/>
  <c r="M5" i="3"/>
  <c r="AA5" i="3"/>
  <c r="R5" i="3"/>
  <c r="S5" i="3"/>
  <c r="B5" i="3"/>
  <c r="V5" i="3"/>
  <c r="F5" i="3" l="1" a="1"/>
  <c r="F5" i="3" s="1"/>
  <c r="D5" i="3" a="1"/>
  <c r="D5" i="3" s="1"/>
  <c r="I5" i="3"/>
  <c r="H5" i="3"/>
  <c r="G5" i="3"/>
  <c r="C5" i="3" a="1"/>
  <c r="C5" i="3" s="1"/>
  <c r="J5" i="3" a="1"/>
  <c r="J5" i="3" s="1"/>
  <c r="K5" i="3" a="1"/>
  <c r="K5" i="3" s="1"/>
  <c r="L5" i="3" a="1"/>
  <c r="L5" i="3" s="1"/>
  <c r="D6" i="3" l="1" a="1"/>
  <c r="D6" i="3" s="1"/>
  <c r="E6" i="3" a="1"/>
  <c r="E6" i="3" s="1"/>
  <c r="U6" i="3"/>
  <c r="B6" i="3"/>
  <c r="L6" i="3" s="1" a="1"/>
  <c r="L6" i="3" s="1"/>
  <c r="Q6" i="3"/>
  <c r="O6" i="3"/>
  <c r="N6" i="3"/>
  <c r="S6" i="3"/>
  <c r="R6" i="3"/>
  <c r="X6" i="3"/>
  <c r="P6" i="3"/>
  <c r="W6" i="3"/>
  <c r="F6" i="3" a="1"/>
  <c r="F6" i="3" s="1"/>
  <c r="C6" i="3" a="1"/>
  <c r="C6" i="3" s="1"/>
  <c r="M6" i="3"/>
  <c r="I6" i="3"/>
  <c r="H6" i="3"/>
  <c r="G6" i="3"/>
  <c r="AA6" i="3"/>
  <c r="Z6" i="3"/>
  <c r="AC6" i="3"/>
  <c r="AB6" i="3"/>
  <c r="Y6" i="3"/>
  <c r="V6" i="3"/>
  <c r="T6" i="3"/>
  <c r="K6" i="3" l="1" a="1"/>
  <c r="K6" i="3" s="1"/>
  <c r="J6" i="3" a="1"/>
  <c r="J6" i="3" s="1"/>
  <c r="V7" i="3" s="1"/>
  <c r="B7" i="3" l="1"/>
  <c r="L7" i="3" s="1" a="1"/>
  <c r="L7" i="3" s="1"/>
  <c r="Y7" i="3"/>
  <c r="F7" i="3" a="1"/>
  <c r="F7" i="3" s="1"/>
  <c r="E7" i="3" a="1"/>
  <c r="E7" i="3" s="1"/>
  <c r="D7" i="3" a="1"/>
  <c r="D7" i="3" s="1"/>
  <c r="I7" i="3"/>
  <c r="Q7" i="3"/>
  <c r="R7" i="3"/>
  <c r="T7" i="3"/>
  <c r="S7" i="3"/>
  <c r="U7" i="3"/>
  <c r="W7" i="3"/>
  <c r="X7" i="3"/>
  <c r="N7" i="3"/>
  <c r="O7" i="3"/>
  <c r="G7" i="3"/>
  <c r="Z7" i="3"/>
  <c r="C7" i="3" a="1"/>
  <c r="C7" i="3" s="1"/>
  <c r="M7" i="3"/>
  <c r="H7" i="3"/>
  <c r="P7" i="3"/>
  <c r="AA7" i="3"/>
  <c r="AC7" i="3"/>
  <c r="AB7" i="3"/>
  <c r="J7" i="3" l="1" a="1"/>
  <c r="J7" i="3" s="1"/>
  <c r="M8" i="3" s="1"/>
  <c r="K7" i="3" a="1"/>
  <c r="K7" i="3" s="1"/>
  <c r="W8" i="3" l="1"/>
  <c r="Z8" i="3"/>
  <c r="Q8" i="3"/>
  <c r="U8" i="3"/>
  <c r="G8" i="3"/>
  <c r="H8" i="3"/>
  <c r="P8" i="3"/>
  <c r="R8" i="3"/>
  <c r="B8" i="3"/>
  <c r="J8" i="3" s="1" a="1"/>
  <c r="J8" i="3" s="1"/>
  <c r="AB8" i="3"/>
  <c r="AA8" i="3"/>
  <c r="Y8" i="3"/>
  <c r="V8" i="3"/>
  <c r="AC8" i="3"/>
  <c r="X8" i="3"/>
  <c r="N8" i="3"/>
  <c r="I8" i="3"/>
  <c r="T8" i="3"/>
  <c r="O8" i="3"/>
  <c r="S8" i="3"/>
  <c r="D8" i="3" a="1"/>
  <c r="D8" i="3" s="1"/>
  <c r="C8" i="3" a="1"/>
  <c r="C8" i="3" s="1"/>
  <c r="F8" i="3" a="1"/>
  <c r="F8" i="3" s="1"/>
  <c r="E8" i="3" a="1"/>
  <c r="E8" i="3" s="1"/>
  <c r="O9" i="3" l="1"/>
  <c r="X9" i="3"/>
  <c r="S9" i="3"/>
  <c r="T9" i="3"/>
  <c r="N9" i="3"/>
  <c r="AC9" i="3"/>
  <c r="AB9" i="3"/>
  <c r="U9" i="3"/>
  <c r="AA9" i="3"/>
  <c r="V9" i="3"/>
  <c r="M9" i="3"/>
  <c r="R9" i="3"/>
  <c r="L8" i="3" a="1"/>
  <c r="L8" i="3" s="1"/>
  <c r="Q9" i="3"/>
  <c r="Y9" i="3"/>
  <c r="Z9" i="3"/>
  <c r="P9" i="3"/>
  <c r="W9" i="3"/>
  <c r="B9" i="3"/>
  <c r="L9" i="3" s="1" a="1"/>
  <c r="L9" i="3" s="1"/>
  <c r="K8" i="3" a="1"/>
  <c r="K8" i="3" s="1"/>
  <c r="E9" i="3" l="1" a="1"/>
  <c r="E9" i="3" s="1"/>
  <c r="G9" i="3"/>
  <c r="D9" i="3" a="1"/>
  <c r="D9" i="3" s="1"/>
  <c r="C9" i="3" a="1"/>
  <c r="C9" i="3" s="1"/>
  <c r="H9" i="3"/>
  <c r="I9" i="3"/>
  <c r="F9" i="3" a="1"/>
  <c r="F9" i="3" s="1"/>
  <c r="K9" i="3" a="1"/>
  <c r="K9" i="3" s="1"/>
  <c r="J9" i="3" a="1"/>
  <c r="J9" i="3" s="1"/>
  <c r="V10" i="3" s="1"/>
  <c r="C10" i="3" l="1" a="1"/>
  <c r="C10" i="3" s="1"/>
  <c r="P10" i="3"/>
  <c r="AB10" i="3"/>
  <c r="Y10" i="3"/>
  <c r="X10" i="3"/>
  <c r="O10" i="3"/>
  <c r="G10" i="3"/>
  <c r="Z10" i="3"/>
  <c r="D10" i="3" a="1"/>
  <c r="D10" i="3" s="1"/>
  <c r="M10" i="3"/>
  <c r="H10" i="3"/>
  <c r="U10" i="3"/>
  <c r="T10" i="3"/>
  <c r="F10" i="3" a="1"/>
  <c r="F10" i="3" s="1"/>
  <c r="N10" i="3"/>
  <c r="E10" i="3" a="1"/>
  <c r="E10" i="3" s="1"/>
  <c r="Q10" i="3"/>
  <c r="I10" i="3"/>
  <c r="B10" i="3"/>
  <c r="J10" i="3" s="1" a="1"/>
  <c r="J10" i="3" s="1"/>
  <c r="AA10" i="3"/>
  <c r="R10" i="3"/>
  <c r="W10" i="3"/>
  <c r="AC10" i="3"/>
  <c r="S10" i="3"/>
  <c r="Z11" i="3" l="1"/>
  <c r="Y11" i="3"/>
  <c r="N11" i="3"/>
  <c r="T11" i="3"/>
  <c r="O11" i="3"/>
  <c r="AA11" i="3"/>
  <c r="AB11" i="3"/>
  <c r="X11" i="3"/>
  <c r="S11" i="3"/>
  <c r="R11" i="3"/>
  <c r="L10" i="3" a="1"/>
  <c r="L10" i="3" s="1"/>
  <c r="M11" i="3"/>
  <c r="U11" i="3"/>
  <c r="K10" i="3" a="1"/>
  <c r="K10" i="3" s="1"/>
  <c r="F11" i="3" s="1" a="1"/>
  <c r="F11" i="3" s="1"/>
  <c r="AC11" i="3"/>
  <c r="V11" i="3"/>
  <c r="P11" i="3"/>
  <c r="Q11" i="3"/>
  <c r="W11" i="3"/>
  <c r="B11" i="3" l="1"/>
  <c r="J11" i="3" s="1" a="1"/>
  <c r="J11" i="3" s="1"/>
  <c r="N12" i="3" s="1"/>
  <c r="E11" i="3" a="1"/>
  <c r="E11" i="3" s="1"/>
  <c r="C11" i="3" a="1"/>
  <c r="C11" i="3" s="1"/>
  <c r="H11" i="3"/>
  <c r="D11" i="3" a="1"/>
  <c r="D11" i="3" s="1"/>
  <c r="I11" i="3"/>
  <c r="G11" i="3"/>
  <c r="L11" i="3" l="1" a="1"/>
  <c r="L11" i="3" s="1"/>
  <c r="S12" i="3"/>
  <c r="R12" i="3"/>
  <c r="Q12" i="3"/>
  <c r="AB12" i="3"/>
  <c r="U12" i="3"/>
  <c r="AA12" i="3"/>
  <c r="O12" i="3"/>
  <c r="V12" i="3"/>
  <c r="T12" i="3"/>
  <c r="X12" i="3"/>
  <c r="P12" i="3"/>
  <c r="Z12" i="3"/>
  <c r="Y12" i="3"/>
  <c r="M12" i="3"/>
  <c r="W12" i="3"/>
  <c r="B12" i="3"/>
  <c r="J12" i="3" s="1" a="1"/>
  <c r="J12" i="3" s="1"/>
  <c r="K11" i="3" a="1"/>
  <c r="K11" i="3" s="1"/>
  <c r="D12" i="3" s="1" a="1"/>
  <c r="D12" i="3" s="1"/>
  <c r="AC12" i="3"/>
  <c r="I12" i="3" l="1"/>
  <c r="Z13" i="3"/>
  <c r="G12" i="3"/>
  <c r="R13" i="3"/>
  <c r="H12" i="3"/>
  <c r="O13" i="3"/>
  <c r="C12" i="3" a="1"/>
  <c r="C12" i="3" s="1"/>
  <c r="AA13" i="3"/>
  <c r="M13" i="3"/>
  <c r="N13" i="3"/>
  <c r="S13" i="3"/>
  <c r="AC13" i="3"/>
  <c r="AB13" i="3"/>
  <c r="P13" i="3"/>
  <c r="F12" i="3" a="1"/>
  <c r="F12" i="3" s="1"/>
  <c r="E12" i="3" a="1"/>
  <c r="E12" i="3" s="1"/>
  <c r="E13" i="3" s="1" a="1"/>
  <c r="E13" i="3" s="1"/>
  <c r="X13" i="3"/>
  <c r="K12" i="3" a="1"/>
  <c r="K12" i="3" s="1"/>
  <c r="D13" i="3" s="1" a="1"/>
  <c r="D13" i="3" s="1"/>
  <c r="T13" i="3"/>
  <c r="V13" i="3"/>
  <c r="U13" i="3"/>
  <c r="Q13" i="3"/>
  <c r="W13" i="3"/>
  <c r="L12" i="3" a="1"/>
  <c r="L12" i="3" s="1"/>
  <c r="Y13" i="3"/>
  <c r="B13" i="3" l="1"/>
  <c r="J13" i="3" s="1" a="1"/>
  <c r="J13" i="3" s="1"/>
  <c r="V14" i="3" s="1"/>
  <c r="G13" i="3"/>
  <c r="G14" i="3" s="1"/>
  <c r="L13" i="3" a="1"/>
  <c r="L13" i="3" s="1"/>
  <c r="K13" i="3" a="1"/>
  <c r="K13" i="3" s="1"/>
  <c r="H13" i="3"/>
  <c r="H14" i="3" s="1"/>
  <c r="I13" i="3"/>
  <c r="I14" i="3" s="1"/>
  <c r="F13" i="3" a="1"/>
  <c r="F13" i="3" s="1"/>
  <c r="C13" i="3" a="1"/>
  <c r="C13" i="3" s="1"/>
  <c r="C14" i="3" s="1" a="1"/>
  <c r="C14" i="3" s="1"/>
  <c r="AB14" i="3"/>
  <c r="T14" i="3"/>
  <c r="AC14" i="3"/>
  <c r="M14" i="3"/>
  <c r="S14" i="3"/>
  <c r="E14" i="3" a="1"/>
  <c r="E14" i="3" s="1"/>
  <c r="Y14" i="3"/>
  <c r="AA14" i="3"/>
  <c r="D14" i="3" a="1"/>
  <c r="D14" i="3" s="1"/>
  <c r="U14" i="3"/>
  <c r="N14" i="3"/>
  <c r="Q14" i="3"/>
  <c r="O14" i="3"/>
  <c r="R14" i="3"/>
  <c r="X14" i="3"/>
  <c r="P14" i="3"/>
  <c r="Z14" i="3"/>
  <c r="W14" i="3"/>
  <c r="F14" i="3" l="1" a="1"/>
  <c r="F14" i="3" s="1"/>
  <c r="B14" i="3"/>
  <c r="K14" i="3" s="1" a="1"/>
  <c r="K14" i="3" s="1"/>
  <c r="J14" i="3" l="1" a="1"/>
  <c r="J14" i="3" s="1"/>
  <c r="L14" i="3" a="1"/>
  <c r="L14" i="3" s="1"/>
  <c r="G15" i="3" s="1"/>
  <c r="P15" i="3"/>
  <c r="AA15" i="3"/>
  <c r="I15" i="3"/>
  <c r="T15" i="3"/>
  <c r="Y15" i="3"/>
  <c r="W15" i="3"/>
  <c r="E15" i="3" a="1"/>
  <c r="E15" i="3" s="1"/>
  <c r="AB15" i="3"/>
  <c r="V15" i="3"/>
  <c r="O15" i="3"/>
  <c r="AC15" i="3"/>
  <c r="M15" i="3"/>
  <c r="X15" i="3"/>
  <c r="Q15" i="3"/>
  <c r="Z15" i="3"/>
  <c r="S15" i="3"/>
  <c r="F15" i="3" a="1"/>
  <c r="F15" i="3" s="1"/>
  <c r="N15" i="3"/>
  <c r="C15" i="3" a="1"/>
  <c r="C15" i="3" s="1"/>
  <c r="B15" i="3"/>
  <c r="R15" i="3"/>
  <c r="H15" i="3" l="1"/>
  <c r="U15" i="3"/>
  <c r="D15" i="3" a="1"/>
  <c r="D15" i="3" s="1"/>
  <c r="K15" i="3" a="1"/>
  <c r="K15" i="3" s="1"/>
  <c r="L15" i="3" a="1"/>
  <c r="L15" i="3" s="1"/>
  <c r="J15" i="3" a="1"/>
  <c r="J15" i="3" s="1"/>
  <c r="AB16" i="3" s="1"/>
  <c r="I16" i="3"/>
  <c r="M16" i="3"/>
  <c r="R16" i="3"/>
  <c r="E16" i="3" l="1" a="1"/>
  <c r="E16" i="3" s="1"/>
  <c r="U16" i="3"/>
  <c r="Z16" i="3"/>
  <c r="T16" i="3"/>
  <c r="N16" i="3"/>
  <c r="G16" i="3"/>
  <c r="B16" i="3"/>
  <c r="L16" i="3" s="1" a="1"/>
  <c r="L16" i="3" s="1"/>
  <c r="H16" i="3"/>
  <c r="S16" i="3"/>
  <c r="Y16" i="3"/>
  <c r="AC16" i="3"/>
  <c r="X16" i="3"/>
  <c r="O16" i="3"/>
  <c r="F16" i="3" a="1"/>
  <c r="F16" i="3" s="1"/>
  <c r="P16" i="3"/>
  <c r="V16" i="3"/>
  <c r="W16" i="3"/>
  <c r="C16" i="3" a="1"/>
  <c r="C16" i="3" s="1"/>
  <c r="D16" i="3" a="1"/>
  <c r="D16" i="3" s="1"/>
  <c r="Q16" i="3"/>
  <c r="AA16" i="3"/>
  <c r="K16" i="3" l="1" a="1"/>
  <c r="K16" i="3" s="1"/>
  <c r="J16" i="3" a="1"/>
  <c r="J16" i="3" s="1"/>
  <c r="Z17" i="3" s="1"/>
  <c r="AB17" i="3"/>
  <c r="T17" i="3"/>
  <c r="C17" i="3" l="1" a="1"/>
  <c r="C17" i="3" s="1"/>
  <c r="I17" i="3"/>
  <c r="B17" i="3"/>
  <c r="J17" i="3" s="1" a="1"/>
  <c r="J17" i="3" s="1"/>
  <c r="E17" i="3" a="1"/>
  <c r="E17" i="3" s="1"/>
  <c r="X17" i="3"/>
  <c r="Q17" i="3"/>
  <c r="H17" i="3"/>
  <c r="O17" i="3"/>
  <c r="W17" i="3"/>
  <c r="M17" i="3"/>
  <c r="C18" i="3" s="1" a="1"/>
  <c r="C18" i="3" s="1"/>
  <c r="P17" i="3"/>
  <c r="AC17" i="3"/>
  <c r="D17" i="3" a="1"/>
  <c r="D17" i="3" s="1"/>
  <c r="Y17" i="3"/>
  <c r="F17" i="3" a="1"/>
  <c r="F17" i="3" s="1"/>
  <c r="N17" i="3"/>
  <c r="S17" i="3"/>
  <c r="U17" i="3"/>
  <c r="R17" i="3"/>
  <c r="G17" i="3"/>
  <c r="AA17" i="3"/>
  <c r="V17" i="3"/>
  <c r="L17" i="3" l="1" a="1"/>
  <c r="L17" i="3" s="1"/>
  <c r="K17" i="3" a="1"/>
  <c r="K17" i="3" s="1"/>
  <c r="X18" i="3"/>
  <c r="AB18" i="3"/>
  <c r="Z18" i="3"/>
  <c r="AC18" i="3"/>
  <c r="B18" i="3"/>
  <c r="J18" i="3" s="1" a="1"/>
  <c r="J18" i="3" s="1"/>
  <c r="N18" i="3"/>
  <c r="F18" i="3" a="1"/>
  <c r="F18" i="3" s="1"/>
  <c r="T18" i="3"/>
  <c r="M18" i="3"/>
  <c r="U18" i="3"/>
  <c r="E18" i="3" a="1"/>
  <c r="E18" i="3" s="1"/>
  <c r="S18" i="3"/>
  <c r="H18" i="3"/>
  <c r="Y18" i="3"/>
  <c r="W18" i="3"/>
  <c r="V18" i="3"/>
  <c r="D18" i="3" a="1"/>
  <c r="D18" i="3" s="1"/>
  <c r="O18" i="3"/>
  <c r="Q18" i="3"/>
  <c r="AA18" i="3"/>
  <c r="P18" i="3"/>
  <c r="R18" i="3"/>
  <c r="G18" i="3"/>
  <c r="I18" i="3"/>
  <c r="K18" i="3" a="1"/>
  <c r="K18" i="3" s="1"/>
  <c r="L18" i="3" a="1"/>
  <c r="L18" i="3" s="1"/>
  <c r="T19" i="3" l="1"/>
  <c r="W19" i="3"/>
  <c r="Z19" i="3"/>
  <c r="H19" i="3"/>
  <c r="AB19" i="3"/>
  <c r="N19" i="3"/>
  <c r="AC19" i="3"/>
  <c r="G19" i="3"/>
  <c r="E19" i="3" a="1"/>
  <c r="E19" i="3" s="1"/>
  <c r="P19" i="3"/>
  <c r="Y19" i="3"/>
  <c r="M19" i="3"/>
  <c r="V19" i="3"/>
  <c r="D19" i="3" a="1"/>
  <c r="D19" i="3" s="1"/>
  <c r="B19" i="3"/>
  <c r="K19" i="3" s="1" a="1"/>
  <c r="K19" i="3" s="1"/>
  <c r="O19" i="3"/>
  <c r="R19" i="3"/>
  <c r="C19" i="3" a="1"/>
  <c r="C19" i="3" s="1"/>
  <c r="AA19" i="3"/>
  <c r="Q19" i="3"/>
  <c r="X19" i="3"/>
  <c r="I19" i="3"/>
  <c r="U19" i="3"/>
  <c r="S19" i="3"/>
  <c r="F19" i="3" a="1"/>
  <c r="F19" i="3" s="1"/>
  <c r="L19" i="3" l="1" a="1"/>
  <c r="L19" i="3" s="1"/>
  <c r="J19" i="3" a="1"/>
  <c r="J19" i="3" s="1"/>
  <c r="V20" i="3" s="1"/>
  <c r="F20" i="3" a="1"/>
  <c r="F20" i="3" s="1"/>
  <c r="AC20" i="3"/>
  <c r="R20" i="3"/>
  <c r="S20" i="3"/>
  <c r="AA20" i="3"/>
  <c r="O20" i="3"/>
  <c r="G20" i="3"/>
  <c r="D20" i="3" a="1"/>
  <c r="D20" i="3" s="1"/>
  <c r="Q20" i="3"/>
  <c r="H20" i="3"/>
  <c r="B20" i="3" l="1"/>
  <c r="M20" i="3"/>
  <c r="X20" i="3"/>
  <c r="T20" i="3"/>
  <c r="Z20" i="3"/>
  <c r="I20" i="3"/>
  <c r="W20" i="3"/>
  <c r="C20" i="3" a="1"/>
  <c r="C20" i="3" s="1"/>
  <c r="Y20" i="3"/>
  <c r="P20" i="3"/>
  <c r="N20" i="3"/>
  <c r="E20" i="3" a="1"/>
  <c r="E20" i="3" s="1"/>
  <c r="U20" i="3"/>
  <c r="AB20" i="3"/>
  <c r="J20" i="3" a="1"/>
  <c r="J20" i="3" s="1"/>
  <c r="L20" i="3" a="1"/>
  <c r="L20" i="3" s="1"/>
  <c r="K20" i="3" a="1"/>
  <c r="K20" i="3" s="1"/>
  <c r="C21" i="3" l="1" a="1"/>
  <c r="C21" i="3" s="1"/>
  <c r="V21" i="3"/>
  <c r="U21" i="3"/>
  <c r="G21" i="3"/>
  <c r="F21" i="3" a="1"/>
  <c r="F21" i="3" s="1"/>
  <c r="M21" i="3"/>
  <c r="H21" i="3"/>
  <c r="N21" i="3"/>
  <c r="B21" i="3"/>
  <c r="L21" i="3" s="1" a="1"/>
  <c r="L21" i="3" s="1"/>
  <c r="Z21" i="3"/>
  <c r="AB21" i="3"/>
  <c r="E21" i="3" a="1"/>
  <c r="E21" i="3" s="1"/>
  <c r="AC21" i="3"/>
  <c r="X21" i="3"/>
  <c r="I21" i="3"/>
  <c r="AA21" i="3"/>
  <c r="Y21" i="3"/>
  <c r="R21" i="3"/>
  <c r="O21" i="3"/>
  <c r="W21" i="3"/>
  <c r="T21" i="3"/>
  <c r="S21" i="3"/>
  <c r="P21" i="3"/>
  <c r="D21" i="3" a="1"/>
  <c r="D21" i="3" s="1"/>
  <c r="Q21" i="3"/>
  <c r="K21" i="3" l="1" a="1"/>
  <c r="K21" i="3" s="1"/>
  <c r="J21" i="3" a="1"/>
  <c r="J21" i="3" s="1"/>
  <c r="F22" i="3" s="1" a="1"/>
  <c r="F22" i="3" s="1"/>
  <c r="N22" i="3" l="1"/>
  <c r="T22" i="3"/>
  <c r="E22" i="3" a="1"/>
  <c r="E22" i="3" s="1"/>
  <c r="Q22" i="3"/>
  <c r="B22" i="3"/>
  <c r="S22" i="3"/>
  <c r="Y22" i="3"/>
  <c r="O22" i="3"/>
  <c r="I22" i="3"/>
  <c r="R22" i="3"/>
  <c r="C22" i="3" a="1"/>
  <c r="C22" i="3" s="1"/>
  <c r="P22" i="3"/>
  <c r="U22" i="3"/>
  <c r="D22" i="3" a="1"/>
  <c r="D22" i="3" s="1"/>
  <c r="AA22" i="3"/>
  <c r="AC22" i="3"/>
  <c r="V22" i="3"/>
  <c r="X22" i="3"/>
  <c r="H22" i="3"/>
  <c r="Z22" i="3"/>
  <c r="G22" i="3"/>
  <c r="AB22" i="3"/>
  <c r="W22" i="3"/>
  <c r="M22" i="3"/>
  <c r="K22" i="3" l="1" a="1"/>
  <c r="K22" i="3" s="1"/>
  <c r="J22" i="3" a="1"/>
  <c r="J22" i="3" s="1"/>
  <c r="R23" i="3" s="1"/>
  <c r="L22" i="3" a="1"/>
  <c r="L22" i="3" s="1"/>
  <c r="U23" i="3" l="1"/>
  <c r="AC23" i="3"/>
  <c r="Z23" i="3"/>
  <c r="M23" i="3"/>
  <c r="Y23" i="3"/>
  <c r="F23" i="3" a="1"/>
  <c r="F23" i="3" s="1"/>
  <c r="T23" i="3"/>
  <c r="C23" i="3" a="1"/>
  <c r="C23" i="3" s="1"/>
  <c r="P23" i="3"/>
  <c r="W23" i="3"/>
  <c r="X23" i="3"/>
  <c r="AA23" i="3"/>
  <c r="D23" i="3" a="1"/>
  <c r="D23" i="3" s="1"/>
  <c r="O23" i="3"/>
  <c r="S23" i="3"/>
  <c r="Q23" i="3"/>
  <c r="E23" i="3" a="1"/>
  <c r="E23" i="3" s="1"/>
  <c r="N23" i="3"/>
  <c r="H23" i="3"/>
  <c r="G23" i="3"/>
  <c r="B23" i="3"/>
  <c r="V23" i="3"/>
  <c r="I23" i="3"/>
  <c r="AB23" i="3"/>
  <c r="J23" i="3" l="1" a="1"/>
  <c r="J23" i="3" s="1"/>
  <c r="H24" i="3" s="1"/>
  <c r="K23" i="3" a="1"/>
  <c r="K23" i="3" s="1"/>
  <c r="D24" i="3" s="1" a="1"/>
  <c r="D24" i="3" s="1"/>
  <c r="L23" i="3" a="1"/>
  <c r="L23" i="3" s="1"/>
  <c r="P24" i="3" l="1"/>
  <c r="Y24" i="3"/>
  <c r="Z24" i="3"/>
  <c r="AA24" i="3"/>
  <c r="M24" i="3"/>
  <c r="S24" i="3"/>
  <c r="T24" i="3"/>
  <c r="I24" i="3"/>
  <c r="Q24" i="3"/>
  <c r="C24" i="3" a="1"/>
  <c r="C24" i="3" s="1"/>
  <c r="B24" i="3"/>
  <c r="J24" i="3" s="1" a="1"/>
  <c r="J24" i="3" s="1"/>
  <c r="V24" i="3"/>
  <c r="AB24" i="3"/>
  <c r="AC24" i="3"/>
  <c r="E24" i="3" a="1"/>
  <c r="E24" i="3" s="1"/>
  <c r="U24" i="3"/>
  <c r="F24" i="3" a="1"/>
  <c r="F24" i="3" s="1"/>
  <c r="R24" i="3"/>
  <c r="O24" i="3"/>
  <c r="X24" i="3"/>
  <c r="N24" i="3"/>
  <c r="G24" i="3"/>
  <c r="W24" i="3"/>
  <c r="L24" i="3" l="1" a="1"/>
  <c r="L24" i="3" s="1"/>
  <c r="K24" i="3" a="1"/>
  <c r="K24" i="3" s="1"/>
  <c r="B25" i="3"/>
  <c r="L25" i="3" s="1" a="1"/>
  <c r="L25" i="3" s="1"/>
  <c r="M25" i="3"/>
  <c r="O25" i="3"/>
  <c r="Y25" i="3"/>
  <c r="AA25" i="3"/>
  <c r="R25" i="3"/>
  <c r="P25" i="3"/>
  <c r="N25" i="3"/>
  <c r="S25" i="3"/>
  <c r="H25" i="3"/>
  <c r="V25" i="3"/>
  <c r="E25" i="3" a="1"/>
  <c r="E25" i="3" s="1"/>
  <c r="X25" i="3"/>
  <c r="I25" i="3"/>
  <c r="G25" i="3"/>
  <c r="AB25" i="3"/>
  <c r="Q25" i="3"/>
  <c r="U25" i="3"/>
  <c r="T25" i="3"/>
  <c r="D25" i="3" a="1"/>
  <c r="D25" i="3" s="1"/>
  <c r="F25" i="3" a="1"/>
  <c r="F25" i="3" s="1"/>
  <c r="Z25" i="3"/>
  <c r="AC25" i="3"/>
  <c r="C25" i="3" a="1"/>
  <c r="C25" i="3" s="1"/>
  <c r="W25" i="3"/>
  <c r="J25" i="3" l="1" a="1"/>
  <c r="J25" i="3" s="1"/>
  <c r="K25" i="3" a="1"/>
  <c r="K25" i="3" s="1"/>
  <c r="F26" i="3" s="1" a="1"/>
  <c r="F26" i="3" s="1"/>
  <c r="G26" i="3"/>
  <c r="T26" i="3"/>
  <c r="N26" i="3"/>
  <c r="I26" i="3"/>
  <c r="AB26" i="3"/>
  <c r="H26" i="3"/>
  <c r="R26" i="3"/>
  <c r="D26" i="3" a="1"/>
  <c r="D26" i="3" s="1"/>
  <c r="Z26" i="3"/>
  <c r="V26" i="3"/>
  <c r="W26" i="3"/>
  <c r="B26" i="3"/>
  <c r="AC26" i="3"/>
  <c r="Y26" i="3"/>
  <c r="E26" i="3" a="1"/>
  <c r="E26" i="3" s="1"/>
  <c r="P26" i="3"/>
  <c r="U26" i="3"/>
  <c r="X26" i="3"/>
  <c r="AA26" i="3"/>
  <c r="S26" i="3"/>
  <c r="C26" i="3" a="1"/>
  <c r="C26" i="3" s="1"/>
  <c r="O26" i="3"/>
  <c r="M26" i="3"/>
  <c r="Q26" i="3"/>
  <c r="K26" i="3" l="1" a="1"/>
  <c r="K26" i="3" s="1"/>
  <c r="L26" i="3" a="1"/>
  <c r="L26" i="3" s="1"/>
  <c r="J26" i="3" a="1"/>
  <c r="J26" i="3" s="1"/>
  <c r="O27" i="3" s="1"/>
  <c r="N27" i="3" l="1"/>
  <c r="AC27" i="3"/>
  <c r="T27" i="3"/>
  <c r="W27" i="3"/>
  <c r="R27" i="3"/>
  <c r="V27" i="3"/>
  <c r="S27" i="3"/>
  <c r="AA27" i="3"/>
  <c r="D27" i="3" a="1"/>
  <c r="D27" i="3" s="1"/>
  <c r="B27" i="3"/>
  <c r="L27" i="3" s="1" a="1"/>
  <c r="L27" i="3" s="1"/>
  <c r="AB27" i="3"/>
  <c r="Z27" i="3"/>
  <c r="Q27" i="3"/>
  <c r="C27" i="3" a="1"/>
  <c r="C27" i="3" s="1"/>
  <c r="U27" i="3"/>
  <c r="X27" i="3"/>
  <c r="P27" i="3"/>
  <c r="I27" i="3"/>
  <c r="G27" i="3"/>
  <c r="F27" i="3" a="1"/>
  <c r="F27" i="3" s="1"/>
  <c r="E27" i="3" a="1"/>
  <c r="E27" i="3" s="1"/>
  <c r="Y27" i="3"/>
  <c r="H27" i="3"/>
  <c r="M27" i="3"/>
  <c r="J27" i="3" l="1" a="1"/>
  <c r="J27" i="3" s="1"/>
  <c r="K27" i="3" a="1"/>
  <c r="K27" i="3" s="1"/>
  <c r="T28" i="3"/>
  <c r="D28" i="3" a="1"/>
  <c r="D28" i="3" s="1"/>
  <c r="Q28" i="3"/>
  <c r="I28" i="3"/>
  <c r="F28" i="3" a="1"/>
  <c r="F28" i="3" s="1"/>
  <c r="AB28" i="3"/>
  <c r="AA28" i="3"/>
  <c r="E28" i="3" a="1"/>
  <c r="E28" i="3" s="1"/>
  <c r="Y28" i="3"/>
  <c r="C28" i="3" a="1"/>
  <c r="C28" i="3" s="1"/>
  <c r="G28" i="3"/>
  <c r="AC28" i="3"/>
  <c r="M28" i="3"/>
  <c r="O28" i="3"/>
  <c r="U28" i="3"/>
  <c r="P28" i="3"/>
  <c r="V28" i="3"/>
  <c r="R28" i="3"/>
  <c r="Z28" i="3"/>
  <c r="N28" i="3"/>
  <c r="H28" i="3"/>
  <c r="S28" i="3"/>
  <c r="X28" i="3"/>
  <c r="W28" i="3"/>
  <c r="B28" i="3"/>
  <c r="J28" i="3" l="1" a="1"/>
  <c r="J28" i="3" s="1"/>
  <c r="I29" i="3" s="1"/>
  <c r="K28" i="3" a="1"/>
  <c r="K28" i="3" s="1"/>
  <c r="X29" i="3" s="1"/>
  <c r="L28" i="3" a="1"/>
  <c r="L28" i="3" s="1"/>
  <c r="N29" i="3" l="1"/>
  <c r="G29" i="3"/>
  <c r="AB29" i="3"/>
  <c r="V29" i="3"/>
  <c r="W29" i="3"/>
  <c r="M29" i="3"/>
  <c r="C29" i="3" a="1"/>
  <c r="C29" i="3" s="1"/>
  <c r="AA29" i="3"/>
  <c r="U29" i="3"/>
  <c r="R29" i="3"/>
  <c r="Z29" i="3"/>
  <c r="E29" i="3" a="1"/>
  <c r="E29" i="3" s="1"/>
  <c r="S29" i="3"/>
  <c r="Q29" i="3"/>
  <c r="P29" i="3"/>
  <c r="O29" i="3"/>
  <c r="F29" i="3" a="1"/>
  <c r="F29" i="3" s="1"/>
  <c r="T29" i="3"/>
  <c r="AC29" i="3"/>
  <c r="H29" i="3"/>
  <c r="Y29" i="3"/>
  <c r="B29" i="3"/>
  <c r="D29" i="3" a="1"/>
  <c r="D29" i="3" s="1"/>
  <c r="J29" i="3" l="1" a="1"/>
  <c r="J29" i="3" s="1"/>
  <c r="O30" i="3" s="1"/>
  <c r="K29" i="3" a="1"/>
  <c r="K29" i="3" s="1"/>
  <c r="L29" i="3" a="1"/>
  <c r="L29" i="3" s="1"/>
  <c r="F30" i="3" l="1" a="1"/>
  <c r="F30" i="3" s="1"/>
  <c r="Z30" i="3"/>
  <c r="AC30" i="3"/>
  <c r="X30" i="3"/>
  <c r="R30" i="3"/>
  <c r="V30" i="3"/>
  <c r="S30" i="3"/>
  <c r="G30" i="3"/>
  <c r="T30" i="3"/>
  <c r="P30" i="3"/>
  <c r="Q30" i="3"/>
  <c r="B30" i="3"/>
  <c r="L30" i="3" s="1" a="1"/>
  <c r="L30" i="3" s="1"/>
  <c r="C30" i="3" a="1"/>
  <c r="C30" i="3" s="1"/>
  <c r="I30" i="3"/>
  <c r="AB30" i="3"/>
  <c r="N30" i="3"/>
  <c r="H30" i="3"/>
  <c r="U30" i="3"/>
  <c r="D30" i="3" a="1"/>
  <c r="D30" i="3" s="1"/>
  <c r="AA30" i="3"/>
  <c r="Y30" i="3"/>
  <c r="W30" i="3"/>
  <c r="M30" i="3"/>
  <c r="E30" i="3" a="1"/>
  <c r="E30" i="3" s="1"/>
  <c r="W31" i="3" l="1"/>
  <c r="J30" i="3" a="1"/>
  <c r="J30" i="3" s="1"/>
  <c r="K30" i="3" a="1"/>
  <c r="K30" i="3" s="1"/>
  <c r="AC31" i="3"/>
  <c r="H31" i="3"/>
  <c r="Q31" i="3"/>
  <c r="D31" i="3" a="1"/>
  <c r="D31" i="3" s="1"/>
  <c r="R31" i="3"/>
  <c r="X31" i="3"/>
  <c r="AB31" i="3"/>
  <c r="T31" i="3"/>
  <c r="I31" i="3"/>
  <c r="M31" i="3"/>
  <c r="AA31" i="3"/>
  <c r="V31" i="3"/>
  <c r="P31" i="3"/>
  <c r="G31" i="3"/>
  <c r="E31" i="3" a="1"/>
  <c r="E31" i="3" s="1"/>
  <c r="Y31" i="3"/>
  <c r="S31" i="3"/>
  <c r="O31" i="3"/>
  <c r="F31" i="3" a="1"/>
  <c r="F31" i="3" s="1"/>
  <c r="C31" i="3" a="1"/>
  <c r="C31" i="3" s="1"/>
  <c r="B31" i="3"/>
  <c r="U31" i="3"/>
  <c r="N31" i="3"/>
  <c r="Z31" i="3"/>
  <c r="U32" i="3" l="1"/>
  <c r="I32" i="3"/>
  <c r="X32" i="3"/>
  <c r="M32" i="3"/>
  <c r="D32" i="3" a="1"/>
  <c r="D32" i="3" s="1"/>
  <c r="B32" i="3"/>
  <c r="Z32" i="3"/>
  <c r="G32" i="3"/>
  <c r="AC32" i="3"/>
  <c r="C32" i="3" a="1"/>
  <c r="C32" i="3" s="1"/>
  <c r="H32" i="3"/>
  <c r="AB32" i="3"/>
  <c r="N32" i="3"/>
  <c r="P32" i="3"/>
  <c r="E32" i="3" a="1"/>
  <c r="E32" i="3" s="1"/>
  <c r="W32" i="3"/>
  <c r="R32" i="3"/>
  <c r="T32" i="3"/>
  <c r="AA32" i="3"/>
  <c r="Q32" i="3"/>
  <c r="Y32" i="3"/>
  <c r="V32" i="3"/>
  <c r="S32" i="3"/>
  <c r="F32" i="3" a="1"/>
  <c r="F32" i="3" s="1"/>
  <c r="O32" i="3"/>
  <c r="J31" i="3" a="1"/>
  <c r="J31" i="3" s="1"/>
  <c r="L31" i="3" a="1"/>
  <c r="L31" i="3" s="1"/>
  <c r="K31" i="3" a="1"/>
  <c r="K31" i="3" s="1"/>
  <c r="J32" i="3" l="1" a="1"/>
  <c r="J32" i="3" s="1"/>
  <c r="K32" i="3" a="1"/>
  <c r="K32" i="3" s="1"/>
  <c r="L32" i="3" a="1"/>
  <c r="L32" i="3" s="1"/>
  <c r="F33" i="3" a="1"/>
  <c r="F33" i="3" s="1"/>
  <c r="AC33" i="3"/>
  <c r="E33" i="3" a="1"/>
  <c r="E33" i="3" s="1"/>
  <c r="V33" i="3"/>
  <c r="P33" i="3"/>
  <c r="O33" i="3"/>
  <c r="G33" i="3"/>
  <c r="AA33" i="3"/>
  <c r="T33" i="3"/>
  <c r="S33" i="3"/>
  <c r="Z33" i="3"/>
  <c r="Y33" i="3"/>
  <c r="C33" i="3" a="1"/>
  <c r="C33" i="3" s="1"/>
  <c r="B33" i="3"/>
  <c r="X33" i="3"/>
  <c r="M33" i="3"/>
  <c r="U33" i="3"/>
  <c r="D33" i="3" a="1"/>
  <c r="D33" i="3" s="1"/>
  <c r="H33" i="3"/>
  <c r="AB33" i="3"/>
  <c r="W33" i="3"/>
  <c r="N33" i="3"/>
  <c r="I33" i="3"/>
  <c r="R33" i="3"/>
  <c r="Q33" i="3"/>
  <c r="J33" i="3" l="1" a="1"/>
  <c r="J33" i="3" s="1"/>
  <c r="K33" i="3" a="1"/>
  <c r="K33" i="3" s="1"/>
  <c r="L33" i="3" a="1"/>
  <c r="L33" i="3" s="1"/>
  <c r="Q34" i="3"/>
  <c r="T34" i="3"/>
  <c r="B34" i="3"/>
  <c r="M34" i="3"/>
  <c r="E34" i="3" a="1"/>
  <c r="E34" i="3" s="1"/>
  <c r="N34" i="3"/>
  <c r="Y34" i="3"/>
  <c r="AA34" i="3"/>
  <c r="D34" i="3" a="1"/>
  <c r="D34" i="3" s="1"/>
  <c r="Z34" i="3"/>
  <c r="U34" i="3"/>
  <c r="P34" i="3"/>
  <c r="AC34" i="3"/>
  <c r="O34" i="3"/>
  <c r="W34" i="3"/>
  <c r="H34" i="3"/>
  <c r="C34" i="3" a="1"/>
  <c r="C34" i="3" s="1"/>
  <c r="I34" i="3"/>
  <c r="S34" i="3"/>
  <c r="G34" i="3"/>
  <c r="R34" i="3"/>
  <c r="AB34" i="3"/>
  <c r="V34" i="3"/>
  <c r="F34" i="3" a="1"/>
  <c r="F34" i="3" s="1"/>
  <c r="X34" i="3"/>
  <c r="L34" i="3" l="1" a="1"/>
  <c r="L34" i="3" s="1"/>
  <c r="K34" i="3" a="1"/>
  <c r="K34" i="3" s="1"/>
  <c r="J34" i="3" a="1"/>
  <c r="J34" i="3" s="1"/>
  <c r="R35" i="3"/>
  <c r="I35" i="3"/>
  <c r="D35" i="3" a="1"/>
  <c r="D35" i="3" s="1"/>
  <c r="Z35" i="3"/>
  <c r="AB35" i="3"/>
  <c r="G35" i="3"/>
  <c r="AA35" i="3"/>
  <c r="C35" i="3" a="1"/>
  <c r="C35" i="3" s="1"/>
  <c r="P35" i="3"/>
  <c r="V35" i="3"/>
  <c r="F35" i="3" a="1"/>
  <c r="F35" i="3" s="1"/>
  <c r="X35" i="3"/>
  <c r="Y35" i="3"/>
  <c r="S35" i="3"/>
  <c r="B35" i="3"/>
  <c r="N35" i="3"/>
  <c r="H35" i="3"/>
  <c r="E35" i="3" a="1"/>
  <c r="E35" i="3" s="1"/>
  <c r="Q35" i="3"/>
  <c r="W35" i="3"/>
  <c r="T35" i="3"/>
  <c r="AC35" i="3"/>
  <c r="M35" i="3"/>
  <c r="U35" i="3"/>
  <c r="O35" i="3"/>
  <c r="X36" i="3" l="1"/>
  <c r="Q36" i="3"/>
  <c r="AA36" i="3"/>
  <c r="AC36" i="3"/>
  <c r="U36" i="3"/>
  <c r="M36" i="3"/>
  <c r="C36" i="3" a="1"/>
  <c r="C36" i="3" s="1"/>
  <c r="AB36" i="3"/>
  <c r="S36" i="3"/>
  <c r="W36" i="3"/>
  <c r="H36" i="3"/>
  <c r="V36" i="3"/>
  <c r="E36" i="3" a="1"/>
  <c r="E36" i="3" s="1"/>
  <c r="R36" i="3"/>
  <c r="Z36" i="3"/>
  <c r="F36" i="3" a="1"/>
  <c r="F36" i="3" s="1"/>
  <c r="O36" i="3"/>
  <c r="N36" i="3"/>
  <c r="B36" i="3"/>
  <c r="D36" i="3" a="1"/>
  <c r="D36" i="3" s="1"/>
  <c r="P36" i="3"/>
  <c r="G36" i="3"/>
  <c r="Y36" i="3"/>
  <c r="T36" i="3"/>
  <c r="I36" i="3"/>
  <c r="J35" i="3" a="1"/>
  <c r="J35" i="3" s="1"/>
  <c r="K35" i="3" a="1"/>
  <c r="K35" i="3" s="1"/>
  <c r="L35" i="3" a="1"/>
  <c r="L35" i="3" s="1"/>
  <c r="O37" i="3" l="1"/>
  <c r="D37" i="3" a="1"/>
  <c r="D37" i="3" s="1"/>
  <c r="AB37" i="3"/>
  <c r="H37" i="3"/>
  <c r="X37" i="3"/>
  <c r="Z37" i="3"/>
  <c r="M37" i="3"/>
  <c r="U37" i="3"/>
  <c r="C37" i="3" a="1"/>
  <c r="C37" i="3" s="1"/>
  <c r="I37" i="3"/>
  <c r="Y37" i="3"/>
  <c r="S37" i="3"/>
  <c r="W37" i="3"/>
  <c r="B37" i="3"/>
  <c r="Q37" i="3"/>
  <c r="AA37" i="3"/>
  <c r="F37" i="3" a="1"/>
  <c r="F37" i="3" s="1"/>
  <c r="AC37" i="3"/>
  <c r="P37" i="3"/>
  <c r="T37" i="3"/>
  <c r="N37" i="3"/>
  <c r="G37" i="3"/>
  <c r="R37" i="3"/>
  <c r="V37" i="3"/>
  <c r="E37" i="3" a="1"/>
  <c r="E37" i="3" s="1"/>
  <c r="J36" i="3" a="1"/>
  <c r="J36" i="3" s="1"/>
  <c r="L36" i="3" a="1"/>
  <c r="L36" i="3" s="1"/>
  <c r="K36" i="3" a="1"/>
  <c r="K36" i="3" s="1"/>
  <c r="J37" i="3" l="1" a="1"/>
  <c r="J37" i="3" s="1"/>
  <c r="K37" i="3" a="1"/>
  <c r="K37" i="3" s="1"/>
  <c r="L37" i="3" a="1"/>
  <c r="L37" i="3" s="1"/>
  <c r="C38" i="3" a="1"/>
  <c r="C38" i="3" s="1"/>
  <c r="AA38" i="3"/>
  <c r="AB38" i="3"/>
  <c r="H38" i="3"/>
  <c r="T38" i="3"/>
  <c r="G38" i="3"/>
  <c r="Z38" i="3"/>
  <c r="D38" i="3" a="1"/>
  <c r="D38" i="3" s="1"/>
  <c r="N38" i="3"/>
  <c r="E38" i="3" a="1"/>
  <c r="E38" i="3" s="1"/>
  <c r="R38" i="3"/>
  <c r="B38" i="3"/>
  <c r="O38" i="3"/>
  <c r="U38" i="3"/>
  <c r="W38" i="3"/>
  <c r="S38" i="3"/>
  <c r="AC38" i="3"/>
  <c r="I38" i="3"/>
  <c r="P38" i="3"/>
  <c r="Y38" i="3"/>
  <c r="Q38" i="3"/>
  <c r="X38" i="3"/>
  <c r="F38" i="3" a="1"/>
  <c r="F38" i="3" s="1"/>
  <c r="M38" i="3"/>
  <c r="V38" i="3"/>
  <c r="K38" i="3" l="1" a="1"/>
  <c r="K38" i="3" s="1"/>
  <c r="J38" i="3" a="1"/>
  <c r="J38" i="3" s="1"/>
  <c r="L38" i="3" a="1"/>
  <c r="L38" i="3" s="1"/>
  <c r="Y39" i="3"/>
  <c r="E39" i="3" a="1"/>
  <c r="E39" i="3" s="1"/>
  <c r="Q39" i="3"/>
  <c r="N39" i="3"/>
  <c r="AB39" i="3"/>
  <c r="P39" i="3"/>
  <c r="H39" i="3"/>
  <c r="S39" i="3"/>
  <c r="B39" i="3"/>
  <c r="D39" i="3" a="1"/>
  <c r="D39" i="3" s="1"/>
  <c r="T39" i="3"/>
  <c r="G39" i="3"/>
  <c r="U39" i="3"/>
  <c r="M39" i="3"/>
  <c r="AA39" i="3"/>
  <c r="W39" i="3"/>
  <c r="X39" i="3"/>
  <c r="I39" i="3"/>
  <c r="R39" i="3"/>
  <c r="V39" i="3"/>
  <c r="AC39" i="3"/>
  <c r="Z39" i="3"/>
  <c r="O39" i="3"/>
  <c r="C39" i="3" a="1"/>
  <c r="C39" i="3" s="1"/>
  <c r="F39" i="3" a="1"/>
  <c r="F39" i="3" s="1"/>
  <c r="K39" i="3" l="1" a="1"/>
  <c r="K39" i="3" s="1"/>
  <c r="J39" i="3" a="1"/>
  <c r="J39" i="3" s="1"/>
  <c r="L39" i="3" a="1"/>
  <c r="L39" i="3" s="1"/>
  <c r="S40" i="3"/>
  <c r="W40" i="3"/>
  <c r="C40" i="3" a="1"/>
  <c r="C40" i="3" s="1"/>
  <c r="Z40" i="3"/>
  <c r="V40" i="3"/>
  <c r="Y40" i="3"/>
  <c r="F40" i="3" a="1"/>
  <c r="F40" i="3" s="1"/>
  <c r="I40" i="3"/>
  <c r="U40" i="3"/>
  <c r="D40" i="3" a="1"/>
  <c r="D40" i="3" s="1"/>
  <c r="P40" i="3"/>
  <c r="O40" i="3"/>
  <c r="G40" i="3"/>
  <c r="AA40" i="3"/>
  <c r="M40" i="3"/>
  <c r="AB40" i="3"/>
  <c r="AC40" i="3"/>
  <c r="H40" i="3"/>
  <c r="T40" i="3"/>
  <c r="R40" i="3"/>
  <c r="B40" i="3"/>
  <c r="E40" i="3" a="1"/>
  <c r="E40" i="3" s="1"/>
  <c r="X40" i="3"/>
  <c r="N40" i="3"/>
  <c r="Q40" i="3"/>
  <c r="J40" i="3" l="1" a="1"/>
  <c r="J40" i="3" s="1"/>
  <c r="K40" i="3" a="1"/>
  <c r="K40" i="3" s="1"/>
  <c r="L40" i="3" a="1"/>
  <c r="L40" i="3" s="1"/>
  <c r="B41" i="3"/>
  <c r="C41" i="3" a="1"/>
  <c r="C41" i="3" s="1"/>
  <c r="M41" i="3"/>
  <c r="R41" i="3"/>
  <c r="U41" i="3"/>
  <c r="O41" i="3"/>
  <c r="N41" i="3"/>
  <c r="T41" i="3"/>
  <c r="D41" i="3" a="1"/>
  <c r="D41" i="3" s="1"/>
  <c r="P41" i="3"/>
  <c r="Z41" i="3"/>
  <c r="AA41" i="3"/>
  <c r="Y41" i="3"/>
  <c r="W41" i="3"/>
  <c r="S41" i="3"/>
  <c r="V41" i="3"/>
  <c r="G41" i="3"/>
  <c r="AB41" i="3"/>
  <c r="H41" i="3"/>
  <c r="I41" i="3"/>
  <c r="F41" i="3" a="1"/>
  <c r="F41" i="3" s="1"/>
  <c r="Q41" i="3"/>
  <c r="AC41" i="3"/>
  <c r="E41" i="3" a="1"/>
  <c r="E41" i="3" s="1"/>
  <c r="X41" i="3"/>
  <c r="I42" i="3" l="1"/>
  <c r="D42" i="3" a="1"/>
  <c r="D42" i="3" s="1"/>
  <c r="Q42" i="3"/>
  <c r="B42" i="3"/>
  <c r="M42" i="3"/>
  <c r="E42" i="3" a="1"/>
  <c r="E42" i="3" s="1"/>
  <c r="H42" i="3"/>
  <c r="T42" i="3"/>
  <c r="X42" i="3"/>
  <c r="AA42" i="3"/>
  <c r="Z42" i="3"/>
  <c r="V42" i="3"/>
  <c r="P42" i="3"/>
  <c r="F42" i="3" a="1"/>
  <c r="F42" i="3" s="1"/>
  <c r="O42" i="3"/>
  <c r="AB42" i="3"/>
  <c r="N42" i="3"/>
  <c r="R42" i="3"/>
  <c r="Y42" i="3"/>
  <c r="AC42" i="3"/>
  <c r="S42" i="3"/>
  <c r="C42" i="3" a="1"/>
  <c r="C42" i="3" s="1"/>
  <c r="W42" i="3"/>
  <c r="U42" i="3"/>
  <c r="G42" i="3"/>
  <c r="J41" i="3" a="1"/>
  <c r="J41" i="3" s="1"/>
  <c r="L41" i="3" a="1"/>
  <c r="L41" i="3" s="1"/>
  <c r="K41" i="3" a="1"/>
  <c r="K41" i="3" s="1"/>
  <c r="H43" i="3" l="1"/>
  <c r="O43" i="3"/>
  <c r="U43" i="3"/>
  <c r="P43" i="3"/>
  <c r="W43" i="3"/>
  <c r="M43" i="3"/>
  <c r="E43" i="3" a="1"/>
  <c r="E43" i="3" s="1"/>
  <c r="Y43" i="3"/>
  <c r="T43" i="3"/>
  <c r="Z43" i="3"/>
  <c r="AC43" i="3"/>
  <c r="B43" i="3"/>
  <c r="D43" i="3" a="1"/>
  <c r="D43" i="3" s="1"/>
  <c r="F43" i="3" a="1"/>
  <c r="F43" i="3" s="1"/>
  <c r="X43" i="3"/>
  <c r="AA43" i="3"/>
  <c r="V43" i="3"/>
  <c r="C43" i="3" a="1"/>
  <c r="C43" i="3" s="1"/>
  <c r="R43" i="3"/>
  <c r="Q43" i="3"/>
  <c r="I43" i="3"/>
  <c r="G43" i="3"/>
  <c r="N43" i="3"/>
  <c r="AB43" i="3"/>
  <c r="S43" i="3"/>
  <c r="J42" i="3" a="1"/>
  <c r="J42" i="3" s="1"/>
  <c r="K42" i="3" a="1"/>
  <c r="K42" i="3" s="1"/>
  <c r="L42" i="3" a="1"/>
  <c r="L42" i="3" s="1"/>
  <c r="AB44" i="3" l="1"/>
  <c r="T44" i="3"/>
  <c r="G44" i="3"/>
  <c r="Z44" i="3"/>
  <c r="V44" i="3"/>
  <c r="W44" i="3"/>
  <c r="S44" i="3"/>
  <c r="F44" i="3" a="1"/>
  <c r="F44" i="3" s="1"/>
  <c r="N44" i="3"/>
  <c r="AA44" i="3"/>
  <c r="R44" i="3"/>
  <c r="I44" i="3"/>
  <c r="U44" i="3"/>
  <c r="Y44" i="3"/>
  <c r="Q44" i="3"/>
  <c r="B44" i="3"/>
  <c r="C44" i="3" a="1"/>
  <c r="C44" i="3" s="1"/>
  <c r="D44" i="3" a="1"/>
  <c r="D44" i="3" s="1"/>
  <c r="P44" i="3"/>
  <c r="AC44" i="3"/>
  <c r="O44" i="3"/>
  <c r="M44" i="3"/>
  <c r="H44" i="3"/>
  <c r="E44" i="3" a="1"/>
  <c r="E44" i="3" s="1"/>
  <c r="X44" i="3"/>
  <c r="L43" i="3" a="1"/>
  <c r="L43" i="3" s="1"/>
  <c r="K43" i="3" a="1"/>
  <c r="K43" i="3" s="1"/>
  <c r="J43" i="3" a="1"/>
  <c r="J43" i="3" s="1"/>
  <c r="K44" i="3" l="1" a="1"/>
  <c r="K44" i="3" s="1"/>
  <c r="J44" i="3" a="1"/>
  <c r="J44" i="3" s="1"/>
  <c r="L44" i="3" a="1"/>
  <c r="L44" i="3" s="1"/>
  <c r="F45" i="3" a="1"/>
  <c r="F45" i="3" s="1"/>
  <c r="Y45" i="3"/>
  <c r="B45" i="3"/>
  <c r="AC45" i="3"/>
  <c r="N45" i="3"/>
  <c r="H45" i="3"/>
  <c r="C45" i="3" a="1"/>
  <c r="C45" i="3" s="1"/>
  <c r="P45" i="3"/>
  <c r="D45" i="3" a="1"/>
  <c r="D45" i="3" s="1"/>
  <c r="V45" i="3"/>
  <c r="M45" i="3"/>
  <c r="X45" i="3"/>
  <c r="G45" i="3"/>
  <c r="U45" i="3"/>
  <c r="R45" i="3"/>
  <c r="W45" i="3"/>
  <c r="Q45" i="3"/>
  <c r="AA45" i="3"/>
  <c r="E45" i="3" a="1"/>
  <c r="E45" i="3" s="1"/>
  <c r="O45" i="3"/>
  <c r="S45" i="3"/>
  <c r="I45" i="3"/>
  <c r="Z45" i="3"/>
  <c r="T45" i="3"/>
  <c r="AB45" i="3"/>
  <c r="AB46" i="3" l="1"/>
  <c r="G46" i="3"/>
  <c r="W46" i="3"/>
  <c r="R46" i="3"/>
  <c r="S46" i="3"/>
  <c r="C46" i="3" a="1"/>
  <c r="C46" i="3" s="1"/>
  <c r="U46" i="3"/>
  <c r="M46" i="3"/>
  <c r="H46" i="3"/>
  <c r="AA46" i="3"/>
  <c r="Z46" i="3"/>
  <c r="F46" i="3" a="1"/>
  <c r="F46" i="3" s="1"/>
  <c r="Q46" i="3"/>
  <c r="V46" i="3"/>
  <c r="P46" i="3"/>
  <c r="X46" i="3"/>
  <c r="E46" i="3" a="1"/>
  <c r="E46" i="3" s="1"/>
  <c r="N46" i="3"/>
  <c r="B46" i="3"/>
  <c r="AC46" i="3"/>
  <c r="I46" i="3"/>
  <c r="T46" i="3"/>
  <c r="D46" i="3" a="1"/>
  <c r="D46" i="3" s="1"/>
  <c r="Y46" i="3"/>
  <c r="O46" i="3"/>
  <c r="J45" i="3" a="1"/>
  <c r="J45" i="3" s="1"/>
  <c r="K45" i="3" a="1"/>
  <c r="K45" i="3" s="1"/>
  <c r="L45" i="3" a="1"/>
  <c r="L45" i="3" s="1"/>
  <c r="V47" i="3" l="1"/>
  <c r="O47" i="3"/>
  <c r="P47" i="3"/>
  <c r="H47" i="3"/>
  <c r="R47" i="3"/>
  <c r="E47" i="3" a="1"/>
  <c r="E47" i="3" s="1"/>
  <c r="Q47" i="3"/>
  <c r="AA47" i="3"/>
  <c r="I47" i="3"/>
  <c r="AC47" i="3"/>
  <c r="S47" i="3"/>
  <c r="G47" i="3"/>
  <c r="AB47" i="3"/>
  <c r="X47" i="3"/>
  <c r="B47" i="3"/>
  <c r="Z47" i="3"/>
  <c r="M47" i="3"/>
  <c r="W47" i="3"/>
  <c r="N47" i="3"/>
  <c r="C47" i="3" a="1"/>
  <c r="C47" i="3" s="1"/>
  <c r="T47" i="3"/>
  <c r="F47" i="3" a="1"/>
  <c r="F47" i="3" s="1"/>
  <c r="Y47" i="3"/>
  <c r="D47" i="3" a="1"/>
  <c r="D47" i="3" s="1"/>
  <c r="U47" i="3"/>
  <c r="K46" i="3" a="1"/>
  <c r="K46" i="3" s="1"/>
  <c r="L46" i="3" a="1"/>
  <c r="L46" i="3" s="1"/>
  <c r="J46" i="3" a="1"/>
  <c r="J46" i="3" s="1"/>
  <c r="J47" i="3" l="1" a="1"/>
  <c r="J47" i="3" s="1"/>
  <c r="L47" i="3" a="1"/>
  <c r="L47" i="3" s="1"/>
  <c r="K47" i="3" a="1"/>
  <c r="K47" i="3" s="1"/>
  <c r="AB48" i="3"/>
  <c r="P48" i="3"/>
  <c r="AC48" i="3"/>
  <c r="N48" i="3"/>
  <c r="B48" i="3"/>
  <c r="X48" i="3"/>
  <c r="S48" i="3"/>
  <c r="Q48" i="3"/>
  <c r="I48" i="3"/>
  <c r="F48" i="3" a="1"/>
  <c r="F48" i="3" s="1"/>
  <c r="Z48" i="3"/>
  <c r="Y48" i="3"/>
  <c r="W48" i="3"/>
  <c r="O48" i="3"/>
  <c r="G48" i="3"/>
  <c r="AA48" i="3"/>
  <c r="V48" i="3"/>
  <c r="U48" i="3"/>
  <c r="H48" i="3"/>
  <c r="C48" i="3" a="1"/>
  <c r="C48" i="3" s="1"/>
  <c r="R48" i="3"/>
  <c r="T48" i="3"/>
  <c r="M48" i="3"/>
  <c r="D48" i="3" a="1"/>
  <c r="D48" i="3" s="1"/>
  <c r="E48" i="3" a="1"/>
  <c r="E48" i="3" s="1"/>
  <c r="J48" i="3" l="1" a="1"/>
  <c r="J48" i="3" s="1"/>
  <c r="L48" i="3" a="1"/>
  <c r="L48" i="3" s="1"/>
  <c r="K48" i="3" a="1"/>
  <c r="K48" i="3" s="1"/>
  <c r="X49" i="3"/>
  <c r="F49" i="3" a="1"/>
  <c r="F49" i="3" s="1"/>
  <c r="H49" i="3"/>
  <c r="U49" i="3"/>
  <c r="E49" i="3" a="1"/>
  <c r="E49" i="3" s="1"/>
  <c r="AB49" i="3"/>
  <c r="O49" i="3"/>
  <c r="S49" i="3"/>
  <c r="T49" i="3"/>
  <c r="V49" i="3"/>
  <c r="AA49" i="3"/>
  <c r="Q49" i="3"/>
  <c r="C49" i="3" a="1"/>
  <c r="C49" i="3" s="1"/>
  <c r="N49" i="3"/>
  <c r="I49" i="3"/>
  <c r="M49" i="3"/>
  <c r="G49" i="3"/>
  <c r="B49" i="3"/>
  <c r="P49" i="3"/>
  <c r="R49" i="3"/>
  <c r="Y49" i="3"/>
  <c r="D49" i="3" a="1"/>
  <c r="D49" i="3" s="1"/>
  <c r="W49" i="3"/>
  <c r="Z49" i="3"/>
  <c r="AC49" i="3"/>
  <c r="J49" i="3" l="1" a="1"/>
  <c r="J49" i="3" s="1"/>
  <c r="K49" i="3" a="1"/>
  <c r="K49" i="3" s="1"/>
  <c r="L49" i="3" a="1"/>
  <c r="L49" i="3" s="1"/>
  <c r="F50" i="3" a="1"/>
  <c r="F50" i="3" s="1"/>
  <c r="R50" i="3"/>
  <c r="D50" i="3" a="1"/>
  <c r="D50" i="3" s="1"/>
  <c r="T50" i="3"/>
  <c r="M50" i="3"/>
  <c r="E50" i="3" a="1"/>
  <c r="E50" i="3" s="1"/>
  <c r="AC50" i="3"/>
  <c r="P50" i="3"/>
  <c r="B50" i="3"/>
  <c r="G50" i="3"/>
  <c r="C50" i="3" a="1"/>
  <c r="C50" i="3" s="1"/>
  <c r="O50" i="3"/>
  <c r="H50" i="3"/>
  <c r="U50" i="3"/>
  <c r="I50" i="3"/>
  <c r="AB50" i="3"/>
  <c r="Z50" i="3"/>
  <c r="S50" i="3"/>
  <c r="Y50" i="3"/>
  <c r="N50" i="3"/>
  <c r="V50" i="3"/>
  <c r="X50" i="3"/>
  <c r="Q50" i="3"/>
  <c r="W50" i="3"/>
  <c r="AA50" i="3"/>
  <c r="L50" i="3" l="1" a="1"/>
  <c r="L50" i="3" s="1"/>
  <c r="J50" i="3" a="1"/>
  <c r="J50" i="3" s="1"/>
  <c r="K50" i="3" a="1"/>
  <c r="K50" i="3" s="1"/>
  <c r="C51" i="3" a="1"/>
  <c r="C51" i="3" s="1"/>
  <c r="Z51" i="3"/>
  <c r="D51" i="3" a="1"/>
  <c r="D51" i="3" s="1"/>
  <c r="Q51" i="3"/>
  <c r="AB51" i="3"/>
  <c r="X51" i="3"/>
  <c r="AC51" i="3"/>
  <c r="I51" i="3"/>
  <c r="V51" i="3"/>
  <c r="P51" i="3"/>
  <c r="N51" i="3"/>
  <c r="B51" i="3"/>
  <c r="U51" i="3"/>
  <c r="F51" i="3" a="1"/>
  <c r="F51" i="3" s="1"/>
  <c r="M51" i="3"/>
  <c r="S51" i="3"/>
  <c r="O51" i="3"/>
  <c r="AA51" i="3"/>
  <c r="T51" i="3"/>
  <c r="H51" i="3"/>
  <c r="W51" i="3"/>
  <c r="R51" i="3"/>
  <c r="E51" i="3" a="1"/>
  <c r="E51" i="3" s="1"/>
  <c r="G51" i="3"/>
  <c r="Y51" i="3"/>
  <c r="M52" i="3" l="1"/>
  <c r="V52" i="3"/>
  <c r="C52" i="3" a="1"/>
  <c r="C52" i="3" s="1"/>
  <c r="U52" i="3"/>
  <c r="X52" i="3"/>
  <c r="P52" i="3"/>
  <c r="H52" i="3"/>
  <c r="AA52" i="3"/>
  <c r="R52" i="3"/>
  <c r="T52" i="3"/>
  <c r="W52" i="3"/>
  <c r="Z52" i="3"/>
  <c r="F52" i="3" a="1"/>
  <c r="F52" i="3" s="1"/>
  <c r="AC52" i="3"/>
  <c r="S52" i="3"/>
  <c r="N52" i="3"/>
  <c r="O52" i="3"/>
  <c r="AB52" i="3"/>
  <c r="E52" i="3" a="1"/>
  <c r="E52" i="3" s="1"/>
  <c r="Q52" i="3"/>
  <c r="B52" i="3"/>
  <c r="Y52" i="3"/>
  <c r="I52" i="3"/>
  <c r="D52" i="3" a="1"/>
  <c r="D52" i="3" s="1"/>
  <c r="G52" i="3"/>
  <c r="K51" i="3" a="1"/>
  <c r="K51" i="3" s="1"/>
  <c r="L51" i="3" a="1"/>
  <c r="L51" i="3" s="1"/>
  <c r="J51" i="3" a="1"/>
  <c r="J51" i="3" s="1"/>
  <c r="L52" i="3" l="1" a="1"/>
  <c r="L52" i="3" s="1"/>
  <c r="J52" i="3" a="1"/>
  <c r="J52" i="3" s="1"/>
  <c r="K52" i="3" a="1"/>
  <c r="K52" i="3" s="1"/>
  <c r="U53" i="3"/>
  <c r="R53" i="3"/>
  <c r="G53" i="3"/>
  <c r="X53" i="3"/>
  <c r="P53" i="3"/>
  <c r="T53" i="3"/>
  <c r="I53" i="3"/>
  <c r="D53" i="3" a="1"/>
  <c r="D53" i="3" s="1"/>
  <c r="AC53" i="3"/>
  <c r="E53" i="3" a="1"/>
  <c r="E53" i="3" s="1"/>
  <c r="O53" i="3"/>
  <c r="V53" i="3"/>
  <c r="M53" i="3"/>
  <c r="W53" i="3"/>
  <c r="Z53" i="3"/>
  <c r="C53" i="3" a="1"/>
  <c r="C53" i="3" s="1"/>
  <c r="Y53" i="3"/>
  <c r="B53" i="3"/>
  <c r="H53" i="3"/>
  <c r="Q53" i="3"/>
  <c r="S53" i="3"/>
  <c r="N53" i="3"/>
  <c r="AA53" i="3"/>
  <c r="F53" i="3" a="1"/>
  <c r="F53" i="3" s="1"/>
  <c r="AB53" i="3"/>
  <c r="R54" i="3" l="1"/>
  <c r="E54" i="3" a="1"/>
  <c r="E54" i="3" s="1"/>
  <c r="F54" i="3" a="1"/>
  <c r="F54" i="3" s="1"/>
  <c r="U54" i="3"/>
  <c r="Y54" i="3"/>
  <c r="P54" i="3"/>
  <c r="Q54" i="3"/>
  <c r="S54" i="3"/>
  <c r="I54" i="3"/>
  <c r="AA54" i="3"/>
  <c r="M54" i="3"/>
  <c r="C54" i="3" a="1"/>
  <c r="C54" i="3" s="1"/>
  <c r="W54" i="3"/>
  <c r="D54" i="3" a="1"/>
  <c r="D54" i="3" s="1"/>
  <c r="AB54" i="3"/>
  <c r="B54" i="3"/>
  <c r="T54" i="3"/>
  <c r="AC54" i="3"/>
  <c r="O54" i="3"/>
  <c r="G54" i="3"/>
  <c r="N54" i="3"/>
  <c r="H54" i="3"/>
  <c r="V54" i="3"/>
  <c r="Z54" i="3"/>
  <c r="X54" i="3"/>
  <c r="K53" i="3" a="1"/>
  <c r="K53" i="3" s="1"/>
  <c r="L53" i="3" a="1"/>
  <c r="L53" i="3" s="1"/>
  <c r="J53" i="3" a="1"/>
  <c r="J53" i="3" s="1"/>
  <c r="J54" i="3" l="1" a="1"/>
  <c r="J54" i="3" s="1"/>
  <c r="K54" i="3" a="1"/>
  <c r="K54" i="3" s="1"/>
  <c r="L54" i="3" a="1"/>
  <c r="L54" i="3" s="1"/>
  <c r="AB55" i="3"/>
  <c r="P55" i="3"/>
  <c r="I55" i="3"/>
  <c r="H55" i="3"/>
  <c r="Z55" i="3"/>
  <c r="G55" i="3"/>
  <c r="AC55" i="3"/>
  <c r="O55" i="3"/>
  <c r="W55" i="3"/>
  <c r="N55" i="3"/>
  <c r="V55" i="3"/>
  <c r="F55" i="3" a="1"/>
  <c r="F55" i="3" s="1"/>
  <c r="AA55" i="3"/>
  <c r="E55" i="3" a="1"/>
  <c r="E55" i="3" s="1"/>
  <c r="D55" i="3" a="1"/>
  <c r="D55" i="3" s="1"/>
  <c r="X55" i="3"/>
  <c r="R55" i="3"/>
  <c r="C55" i="3" a="1"/>
  <c r="C55" i="3" s="1"/>
  <c r="U55" i="3"/>
  <c r="M55" i="3"/>
  <c r="S55" i="3"/>
  <c r="Q55" i="3"/>
  <c r="T55" i="3"/>
  <c r="B55" i="3"/>
  <c r="Y55" i="3"/>
  <c r="G56" i="3" l="1"/>
  <c r="V56" i="3"/>
  <c r="I56" i="3"/>
  <c r="B56" i="3"/>
  <c r="X56" i="3"/>
  <c r="AA56" i="3"/>
  <c r="N56" i="3"/>
  <c r="H56" i="3"/>
  <c r="T56" i="3"/>
  <c r="Z56" i="3"/>
  <c r="M56" i="3"/>
  <c r="R56" i="3"/>
  <c r="U56" i="3"/>
  <c r="P56" i="3"/>
  <c r="F56" i="3" a="1"/>
  <c r="F56" i="3" s="1"/>
  <c r="Q56" i="3"/>
  <c r="O56" i="3"/>
  <c r="S56" i="3"/>
  <c r="D56" i="3" a="1"/>
  <c r="D56" i="3" s="1"/>
  <c r="AB56" i="3"/>
  <c r="Y56" i="3"/>
  <c r="W56" i="3"/>
  <c r="C56" i="3" a="1"/>
  <c r="C56" i="3" s="1"/>
  <c r="AC56" i="3"/>
  <c r="E56" i="3" a="1"/>
  <c r="E56" i="3" s="1"/>
  <c r="L55" i="3" a="1"/>
  <c r="L55" i="3" s="1"/>
  <c r="J55" i="3" a="1"/>
  <c r="J55" i="3" s="1"/>
  <c r="K55" i="3" a="1"/>
  <c r="K55" i="3" s="1"/>
  <c r="N57" i="3" l="1"/>
  <c r="W57" i="3"/>
  <c r="E57" i="3" a="1"/>
  <c r="E57" i="3" s="1"/>
  <c r="Z57" i="3"/>
  <c r="B57" i="3"/>
  <c r="S57" i="3"/>
  <c r="P57" i="3"/>
  <c r="AC57" i="3"/>
  <c r="V57" i="3"/>
  <c r="Q57" i="3"/>
  <c r="U57" i="3"/>
  <c r="C57" i="3" a="1"/>
  <c r="C57" i="3" s="1"/>
  <c r="Y57" i="3"/>
  <c r="D57" i="3" a="1"/>
  <c r="D57" i="3" s="1"/>
  <c r="AA57" i="3"/>
  <c r="T57" i="3"/>
  <c r="R57" i="3"/>
  <c r="I57" i="3"/>
  <c r="H57" i="3"/>
  <c r="G57" i="3"/>
  <c r="O57" i="3"/>
  <c r="AB57" i="3"/>
  <c r="F57" i="3" a="1"/>
  <c r="F57" i="3" s="1"/>
  <c r="X57" i="3"/>
  <c r="M57" i="3"/>
  <c r="J56" i="3" a="1"/>
  <c r="J56" i="3" s="1"/>
  <c r="L56" i="3" a="1"/>
  <c r="L56" i="3" s="1"/>
  <c r="K56" i="3" a="1"/>
  <c r="K56" i="3" s="1"/>
  <c r="K57" i="3" l="1" a="1"/>
  <c r="K57" i="3" s="1"/>
  <c r="J57" i="3" a="1"/>
  <c r="J57" i="3" s="1"/>
  <c r="L57" i="3" a="1"/>
  <c r="L57" i="3" s="1"/>
  <c r="S58" i="3"/>
  <c r="M58" i="3"/>
  <c r="Z58" i="3"/>
  <c r="AC58" i="3"/>
  <c r="C58" i="3" a="1"/>
  <c r="C58" i="3" s="1"/>
  <c r="Q58" i="3"/>
  <c r="P58" i="3"/>
  <c r="D58" i="3" a="1"/>
  <c r="D58" i="3" s="1"/>
  <c r="O58" i="3"/>
  <c r="I58" i="3"/>
  <c r="R58" i="3"/>
  <c r="AB58" i="3"/>
  <c r="E58" i="3" a="1"/>
  <c r="E58" i="3" s="1"/>
  <c r="F58" i="3" a="1"/>
  <c r="F58" i="3" s="1"/>
  <c r="W58" i="3"/>
  <c r="G58" i="3"/>
  <c r="T58" i="3"/>
  <c r="Y58" i="3"/>
  <c r="AA58" i="3"/>
  <c r="N58" i="3"/>
  <c r="X58" i="3"/>
  <c r="U58" i="3"/>
  <c r="V58" i="3"/>
  <c r="H58" i="3"/>
  <c r="B58" i="3"/>
  <c r="L58" i="3" l="1" a="1"/>
  <c r="L58" i="3" s="1"/>
  <c r="K58" i="3" a="1"/>
  <c r="K58" i="3" s="1"/>
  <c r="J58" i="3" a="1"/>
  <c r="J58" i="3" s="1"/>
  <c r="Y59" i="3"/>
  <c r="P59" i="3"/>
  <c r="F59" i="3" a="1"/>
  <c r="F59" i="3" s="1"/>
  <c r="D59" i="3" a="1"/>
  <c r="D59" i="3" s="1"/>
  <c r="E59" i="3" a="1"/>
  <c r="E59" i="3" s="1"/>
  <c r="U59" i="3"/>
  <c r="W59" i="3"/>
  <c r="H59" i="3"/>
  <c r="I59" i="3"/>
  <c r="B59" i="3"/>
  <c r="N59" i="3"/>
  <c r="Z59" i="3"/>
  <c r="G59" i="3"/>
  <c r="T59" i="3"/>
  <c r="X59" i="3"/>
  <c r="M59" i="3"/>
  <c r="V59" i="3"/>
  <c r="O59" i="3"/>
  <c r="AC59" i="3"/>
  <c r="S59" i="3"/>
  <c r="AA59" i="3"/>
  <c r="C59" i="3" a="1"/>
  <c r="C59" i="3" s="1"/>
  <c r="Q59" i="3"/>
  <c r="AB59" i="3"/>
  <c r="R59" i="3"/>
  <c r="L59" i="3" l="1" a="1"/>
  <c r="L59" i="3" s="1"/>
  <c r="K59" i="3" a="1"/>
  <c r="K59" i="3" s="1"/>
  <c r="J59" i="3" a="1"/>
  <c r="J59" i="3" s="1"/>
  <c r="Q60" i="3"/>
  <c r="T60" i="3"/>
  <c r="S60" i="3"/>
  <c r="R60" i="3"/>
  <c r="N60" i="3"/>
  <c r="X60" i="3"/>
  <c r="B60" i="3"/>
  <c r="F60" i="3" a="1"/>
  <c r="F60" i="3" s="1"/>
  <c r="V60" i="3"/>
  <c r="M60" i="3"/>
  <c r="O60" i="3"/>
  <c r="AB60" i="3"/>
  <c r="G60" i="3"/>
  <c r="AA60" i="3"/>
  <c r="U60" i="3"/>
  <c r="P60" i="3"/>
  <c r="H60" i="3"/>
  <c r="C60" i="3" a="1"/>
  <c r="C60" i="3" s="1"/>
  <c r="Y60" i="3"/>
  <c r="W60" i="3"/>
  <c r="I60" i="3"/>
  <c r="Z60" i="3"/>
  <c r="D60" i="3" a="1"/>
  <c r="D60" i="3" s="1"/>
  <c r="E60" i="3" a="1"/>
  <c r="E60" i="3" s="1"/>
  <c r="AC60" i="3"/>
  <c r="AA61" i="3" l="1"/>
  <c r="T61" i="3"/>
  <c r="V61" i="3"/>
  <c r="Q61" i="3"/>
  <c r="AB61" i="3"/>
  <c r="I61" i="3"/>
  <c r="B61" i="3"/>
  <c r="C61" i="3" a="1"/>
  <c r="C61" i="3" s="1"/>
  <c r="E61" i="3" a="1"/>
  <c r="E61" i="3" s="1"/>
  <c r="U61" i="3"/>
  <c r="H61" i="3"/>
  <c r="R61" i="3"/>
  <c r="D61" i="3" a="1"/>
  <c r="D61" i="3" s="1"/>
  <c r="F61" i="3" a="1"/>
  <c r="F61" i="3" s="1"/>
  <c r="X61" i="3"/>
  <c r="O61" i="3"/>
  <c r="M61" i="3"/>
  <c r="P61" i="3"/>
  <c r="Z61" i="3"/>
  <c r="Y61" i="3"/>
  <c r="S61" i="3"/>
  <c r="W61" i="3"/>
  <c r="G61" i="3"/>
  <c r="N61" i="3"/>
  <c r="AC61" i="3"/>
  <c r="K60" i="3" a="1"/>
  <c r="K60" i="3" s="1"/>
  <c r="J60" i="3" a="1"/>
  <c r="J60" i="3" s="1"/>
  <c r="L60" i="3" a="1"/>
  <c r="L60" i="3" s="1"/>
  <c r="K61" i="3" l="1" a="1"/>
  <c r="K61" i="3" s="1"/>
  <c r="J61" i="3" a="1"/>
  <c r="J61" i="3" s="1"/>
  <c r="L61" i="3" a="1"/>
  <c r="L61" i="3" s="1"/>
  <c r="F62" i="3" a="1"/>
  <c r="F62" i="3" s="1"/>
  <c r="E62" i="3" a="1"/>
  <c r="E62" i="3" s="1"/>
  <c r="N62" i="3"/>
  <c r="AC62" i="3"/>
  <c r="B62" i="3"/>
  <c r="U62" i="3"/>
  <c r="V62" i="3"/>
  <c r="O62" i="3"/>
  <c r="T62" i="3"/>
  <c r="I62" i="3"/>
  <c r="Y62" i="3"/>
  <c r="AB62" i="3"/>
  <c r="Q62" i="3"/>
  <c r="C62" i="3" a="1"/>
  <c r="C62" i="3" s="1"/>
  <c r="AA62" i="3"/>
  <c r="P62" i="3"/>
  <c r="D62" i="3" a="1"/>
  <c r="D62" i="3" s="1"/>
  <c r="G62" i="3"/>
  <c r="X62" i="3"/>
  <c r="R62" i="3"/>
  <c r="W62" i="3"/>
  <c r="M62" i="3"/>
  <c r="H62" i="3"/>
  <c r="Z62" i="3"/>
  <c r="S62" i="3"/>
  <c r="K62" i="3" l="1" a="1"/>
  <c r="K62" i="3" s="1"/>
  <c r="J62" i="3" a="1"/>
  <c r="J62" i="3" s="1"/>
  <c r="L62" i="3" a="1"/>
  <c r="L62" i="3" s="1"/>
  <c r="H63" i="3"/>
  <c r="S63" i="3"/>
  <c r="AA63" i="3"/>
  <c r="G63" i="3"/>
  <c r="T63" i="3"/>
  <c r="F63" i="3" a="1"/>
  <c r="F63" i="3" s="1"/>
  <c r="C63" i="3" a="1"/>
  <c r="C63" i="3" s="1"/>
  <c r="E63" i="3" a="1"/>
  <c r="E63" i="3" s="1"/>
  <c r="B63" i="3"/>
  <c r="Y63" i="3"/>
  <c r="I63" i="3"/>
  <c r="D63" i="3" a="1"/>
  <c r="D63" i="3" s="1"/>
  <c r="Q63" i="3"/>
  <c r="N63" i="3"/>
  <c r="O63" i="3"/>
  <c r="P63" i="3"/>
  <c r="U63" i="3"/>
  <c r="V63" i="3"/>
  <c r="R63" i="3"/>
  <c r="AB63" i="3"/>
  <c r="X63" i="3"/>
  <c r="M63" i="3"/>
  <c r="W63" i="3"/>
  <c r="Z63" i="3"/>
  <c r="AC63" i="3"/>
  <c r="J63" i="3" l="1" a="1"/>
  <c r="J63" i="3" s="1"/>
  <c r="L63" i="3" a="1"/>
  <c r="L63" i="3" s="1"/>
  <c r="K63" i="3" a="1"/>
  <c r="K63" i="3" s="1"/>
  <c r="W64" i="3"/>
  <c r="E64" i="3" a="1"/>
  <c r="E64" i="3" s="1"/>
  <c r="F64" i="3" a="1"/>
  <c r="F64" i="3" s="1"/>
  <c r="V64" i="3"/>
  <c r="U64" i="3"/>
  <c r="Q64" i="3"/>
  <c r="AA64" i="3"/>
  <c r="M64" i="3"/>
  <c r="D64" i="3" a="1"/>
  <c r="D64" i="3" s="1"/>
  <c r="H64" i="3"/>
  <c r="B64" i="3"/>
  <c r="I64" i="3"/>
  <c r="O64" i="3"/>
  <c r="Z64" i="3"/>
  <c r="X64" i="3"/>
  <c r="AC64" i="3"/>
  <c r="C64" i="3" a="1"/>
  <c r="C64" i="3" s="1"/>
  <c r="S64" i="3"/>
  <c r="T64" i="3"/>
  <c r="P64" i="3"/>
  <c r="R64" i="3"/>
  <c r="G64" i="3"/>
  <c r="Y64" i="3"/>
  <c r="N64" i="3"/>
  <c r="AB64" i="3"/>
  <c r="K64" i="3" l="1" a="1"/>
  <c r="K64" i="3" s="1"/>
  <c r="L64" i="3" a="1"/>
  <c r="L64" i="3" s="1"/>
  <c r="J64" i="3" a="1"/>
  <c r="J64" i="3" s="1"/>
  <c r="I65" i="3"/>
  <c r="G65" i="3"/>
  <c r="AA65" i="3"/>
  <c r="B65" i="3"/>
  <c r="U65" i="3"/>
  <c r="E65" i="3" a="1"/>
  <c r="E65" i="3" s="1"/>
  <c r="X65" i="3"/>
  <c r="H65" i="3"/>
  <c r="AB65" i="3"/>
  <c r="M65" i="3"/>
  <c r="N65" i="3"/>
  <c r="P65" i="3"/>
  <c r="C65" i="3" a="1"/>
  <c r="C65" i="3" s="1"/>
  <c r="F65" i="3" a="1"/>
  <c r="F65" i="3" s="1"/>
  <c r="Q65" i="3"/>
  <c r="T65" i="3"/>
  <c r="O65" i="3"/>
  <c r="W65" i="3"/>
  <c r="V65" i="3"/>
  <c r="Z65" i="3"/>
  <c r="Y65" i="3"/>
  <c r="AC65" i="3"/>
  <c r="D65" i="3" a="1"/>
  <c r="D65" i="3" s="1"/>
  <c r="R65" i="3"/>
  <c r="S65" i="3"/>
  <c r="K65" i="3" l="1" a="1"/>
  <c r="K65" i="3" s="1"/>
  <c r="J65" i="3" a="1"/>
  <c r="J65" i="3" s="1"/>
  <c r="L65" i="3" a="1"/>
  <c r="L65" i="3" s="1"/>
  <c r="AC66" i="3"/>
  <c r="M66" i="3"/>
  <c r="S66" i="3"/>
  <c r="N66" i="3"/>
  <c r="D66" i="3" a="1"/>
  <c r="D66" i="3" s="1"/>
  <c r="F66" i="3" a="1"/>
  <c r="F66" i="3" s="1"/>
  <c r="C66" i="3" a="1"/>
  <c r="C66" i="3" s="1"/>
  <c r="Q66" i="3"/>
  <c r="O66" i="3"/>
  <c r="P66" i="3"/>
  <c r="R66" i="3"/>
  <c r="X66" i="3"/>
  <c r="U66" i="3"/>
  <c r="Y66" i="3"/>
  <c r="AB66" i="3"/>
  <c r="V66" i="3"/>
  <c r="H66" i="3"/>
  <c r="AA66" i="3"/>
  <c r="W66" i="3"/>
  <c r="E66" i="3" a="1"/>
  <c r="E66" i="3" s="1"/>
  <c r="I66" i="3"/>
  <c r="G66" i="3"/>
  <c r="Z66" i="3"/>
  <c r="B66" i="3"/>
  <c r="T66" i="3"/>
  <c r="L66" i="3" l="1" a="1"/>
  <c r="L66" i="3" s="1"/>
  <c r="K66" i="3" a="1"/>
  <c r="K66" i="3" s="1"/>
  <c r="J66" i="3" a="1"/>
  <c r="J66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<sst xmlns="http://schemas.openxmlformats.org/spreadsheetml/2006/main" count="100" uniqueCount="53">
  <si>
    <t>ADDR</t>
  </si>
  <si>
    <t>MNEM</t>
  </si>
  <si>
    <t>OP1</t>
  </si>
  <si>
    <t>OP2</t>
  </si>
  <si>
    <t>OPCODE</t>
  </si>
  <si>
    <t>ARG1</t>
  </si>
  <si>
    <t>ARG2</t>
  </si>
  <si>
    <t>HUMAN</t>
  </si>
  <si>
    <t>LDI</t>
  </si>
  <si>
    <t>AX</t>
  </si>
  <si>
    <t>CX</t>
  </si>
  <si>
    <t>DIV</t>
  </si>
  <si>
    <t>HLT</t>
  </si>
  <si>
    <t>VALUE (initial)</t>
  </si>
  <si>
    <t>Cycle</t>
  </si>
  <si>
    <t>PC</t>
  </si>
  <si>
    <t>BX</t>
  </si>
  <si>
    <t>DX</t>
  </si>
  <si>
    <t>ZF</t>
  </si>
  <si>
    <t>CF</t>
  </si>
  <si>
    <t>SF</t>
  </si>
  <si>
    <t>Opcode</t>
  </si>
  <si>
    <t>Arg1</t>
  </si>
  <si>
    <t>Arg2</t>
  </si>
  <si>
    <t>Halted</t>
  </si>
  <si>
    <t>RAM0</t>
  </si>
  <si>
    <t>RAM1</t>
  </si>
  <si>
    <t>RAM2</t>
  </si>
  <si>
    <t>RAM3</t>
  </si>
  <si>
    <t>RAM4</t>
  </si>
  <si>
    <t>RAM5</t>
  </si>
  <si>
    <t>RAM6</t>
  </si>
  <si>
    <t>RAM7</t>
  </si>
  <si>
    <t>RAM8</t>
  </si>
  <si>
    <t>RAM9</t>
  </si>
  <si>
    <t>RAM10</t>
  </si>
  <si>
    <t>RAM11</t>
  </si>
  <si>
    <t>RAM12</t>
  </si>
  <si>
    <t>RAM13</t>
  </si>
  <si>
    <t>RAM14</t>
  </si>
  <si>
    <t>RAM15</t>
  </si>
  <si>
    <t>STR</t>
  </si>
  <si>
    <t>Factorial</t>
  </si>
  <si>
    <t>LDR</t>
  </si>
  <si>
    <t>MOV</t>
  </si>
  <si>
    <t>SUBI</t>
  </si>
  <si>
    <t>JZ</t>
  </si>
  <si>
    <t>MUL</t>
  </si>
  <si>
    <t>JNZ</t>
  </si>
  <si>
    <t>Sum values</t>
  </si>
  <si>
    <t>LOOP</t>
  </si>
  <si>
    <t>GCD</t>
  </si>
  <si>
    <t>JMP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</si>
</sst>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57"/>
  <sheetViews>
    <sheetView zoomScale="238" workbookViewId="0">
      <selection activeCell="C6" sqref="C6"/>
    </sheetView>
  </sheetViews>
  <sheetFormatPr baseColWidth="10" defaultColWidth="8.83203125" defaultRowHeight="15" x14ac:dyDescent="0.2"/>
  <cols>
    <col min="8" max="8" width="9.83203125" bestFit="1" customWidth="1"/>
  </cols>
  <sheetData>
    <row r="1" spans="1:2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K1" t="s">
        <v>42</v>
      </c>
      <c r="P1" t="s">
        <v>49</v>
      </c>
      <c r="U1" t="s">
        <v>51</v>
      </c>
    </row>
    <row r="2" spans="1:23" x14ac:dyDescent="0.2">
      <c r="A2">
        <v>0</v>
      </c>
      <c r="B2" t="s">
        <v>8</v>
      </c>
      <c r="C2" t="s">
        <v>9</v>
      </c>
      <c r="D2">
        <v>5</v>
      </c>
      <c r="E2">
        <f>CHOOSE(MATCH(B2,{"NOP","LDI","LDR","STR","MOV","ADDI","ADDR","SUBI","SUBR","JMP","JZ","JNZ","MUL","LOOP","AND","HLT","OR","XOR","DIV"},0),0,1,2,3,4,5,6,7,8,9,10,11,12,13,14,15,16,17,18)</f>
        <v>1</v>
      </c>
      <c r="F2">
        <f t="shared" ref="F2:F65" si="0">IF(C2="AX",0,IF(C2="BX",1,IF(C2="CX",2,IF(C2="DX",3,VALUE(C2)))))</f>
        <v>0</v>
      </c>
      <c r="G2">
        <f>IF(OR(D2="AX",D2="BX",D2="CX",D2="DX"),   IF(OR(E2=12,E2=14,E2=16,E2=17,E2=18),      IF(D2="AX",128+0,IF(D2="BX",128+1,IF(D2="CX",128+2,128+3))),      IF(D2="AX",0,IF(D2="BX",1,IF(D2="CX",2,3)))   ),   VALUE(D2))</f>
        <v>5</v>
      </c>
      <c r="H2" t="str">
        <f>IF(E2=0,"NOP",IF(E2=1,"LDI "&amp;CHOOSE(F2+1,"AX","BX","CX","DX")&amp;","&amp;G2,IF(E2=2,"LDR "&amp;CHOOSE(F2+1,"AX","BX","CX","DX")&amp;",["&amp;G2&amp;"]",IF(E2=3,"STR ["&amp;F2&amp;"],AX",IF(E2=4,"MOV "&amp;CHOOSE(F2+1,"AX","BX","CX","DX")&amp;","&amp;CHOOSE(G2+1,"AX","BX","CX","DX"),IF(E2=5,"ADDI "&amp;CHOOSE(F2+1,"AX","BX","CX","DX")&amp;","&amp;G2,IF(E2=6,"ADDR "&amp;CHOOSE(F2+1,"AX","BX","CX","DX")&amp;","&amp;CHOOSE(G2+1,"AX","BX","CX","DX"),IF(E2=7,"SUBI "&amp;CHOOSE(F2+1,"AX","BX","CX","DX")&amp;","&amp;G2,IF(E2=8,"SUBR "&amp;CHOOSE(F2+1,"AX","BX","CX","DX")&amp;","&amp;CHOOSE(G2+1,"AX","BX","CX","DX"),IF(E2=9,"JMP "&amp;F2,IF(E2=10,"JZ "&amp;F2,IF(E2=11,"JNZ "&amp;F2,IF(E2=12,"MUL "&amp;CHOOSE(F2+1,"AX","BX","CX","DX")&amp;","&amp;IF(G2&gt;=128,CHOOSE(G2-128+1,"AX","BX","CX","DX"),G2),IF(E2=13,"LOOP "&amp;F2,IF(E2=14,"AND "&amp;CHOOSE(F2+1,"AX","BX","CX","DX")&amp;","&amp;IF(G2&gt;=128,CHOOSE(G2-128+1,"AX","BX","CX","DX"),G2),IF(E2=15,"HLT",IF(E2=16,"OR "&amp;CHOOSE(F2+1,"AX","BX","CX","DX")&amp;","&amp;IF(G2&gt;=128,CHOOSE(G2-128+1,"AX","BX","CX","DX"),G2),IF(E2=17,"XOR "&amp;CHOOSE(F2+1,"AX","BX","CX","DX")&amp;","&amp;IF(G2&gt;=128,CHOOSE(G2-128+1,"AX","BX","CX","DX"),G2),IF(E2=18,"DIV AX,"&amp;IF(G2&gt;=128,CHOOSE(G2-128+1,"AX","BX","CX","DX"),G2),"???")))))))))))))))))))</f>
        <v>LDI AX,5</v>
      </c>
      <c r="K2" t="s">
        <v>43</v>
      </c>
      <c r="L2" t="s">
        <v>10</v>
      </c>
      <c r="M2">
        <v>10</v>
      </c>
      <c r="P2" t="s">
        <v>43</v>
      </c>
      <c r="Q2" t="s">
        <v>10</v>
      </c>
      <c r="R2">
        <v>10</v>
      </c>
      <c r="U2" t="s">
        <v>43</v>
      </c>
      <c r="V2" t="s">
        <v>9</v>
      </c>
      <c r="W2">
        <v>1</v>
      </c>
    </row>
    <row r="3" spans="1:23" x14ac:dyDescent="0.2">
      <c r="A3">
        <v>1</v>
      </c>
      <c r="B3" t="s">
        <v>43</v>
      </c>
      <c r="C3" t="s">
        <v>16</v>
      </c>
      <c r="D3">
        <v>7</v>
      </c>
      <c r="E3">
        <f>CHOOSE(MATCH(B3,{"NOP","LDI","LDR","STR","MOV","ADDI","ADDR","SUBI","SUBR","JMP","JZ","JNZ","MUL","LOOP","AND","HLT","OR","XOR","DIV"},0),0,1,2,3,4,5,6,7,8,9,10,11,12,13,14,15,16,17,18)</f>
        <v>2</v>
      </c>
      <c r="F3">
        <f t="shared" si="0"/>
        <v>1</v>
      </c>
      <c r="G3">
        <f t="shared" ref="G3:G65" si="1">IF(OR(D3="AX",D3="BX",D3="CX",D3="DX"),   IF(OR(E3=12,E3=14,E3=16,E3=17,E3=18),      IF(D3="AX",128+0,IF(D3="BX",128+1,IF(D3="CX",128+2,128+3))),      IF(D3="AX",0,IF(D3="BX",1,IF(D3="CX",2,3)))   ),   VALUE(D3))</f>
        <v>7</v>
      </c>
      <c r="H3" t="str">
        <f t="shared" ref="H3:H65" si="2">IF(E3=0,"NOP",IF(E3=1,"LDI "&amp;CHOOSE(F3+1,"AX","BX","CX","DX")&amp;","&amp;G3,IF(E3=2,"LDR "&amp;CHOOSE(F3+1,"AX","BX","CX","DX")&amp;",["&amp;G3&amp;"]",IF(E3=3,"STR ["&amp;F3&amp;"],AX",IF(E3=4,"MOV "&amp;CHOOSE(F3+1,"AX","BX","CX","DX")&amp;","&amp;CHOOSE(G3+1,"AX","BX","CX","DX"),IF(E3=5,"ADDI "&amp;CHOOSE(F3+1,"AX","BX","CX","DX")&amp;","&amp;G3,IF(E3=6,"ADDR "&amp;CHOOSE(F3+1,"AX","BX","CX","DX")&amp;","&amp;CHOOSE(G3+1,"AX","BX","CX","DX"),IF(E3=7,"SUBI "&amp;CHOOSE(F3+1,"AX","BX","CX","DX")&amp;","&amp;G3,IF(E3=8,"SUBR "&amp;CHOOSE(F3+1,"AX","BX","CX","DX")&amp;","&amp;CHOOSE(G3+1,"AX","BX","CX","DX"),IF(E3=9,"JMP "&amp;F3,IF(E3=10,"JZ "&amp;F3,IF(E3=11,"JNZ "&amp;F3,IF(E3=12,"MUL "&amp;CHOOSE(F3+1,"AX","BX","CX","DX")&amp;","&amp;IF(G3&gt;=128,CHOOSE(G3-128+1,"AX","BX","CX","DX"),G3),IF(E3=13,"LOOP "&amp;F3,IF(E3=14,"AND "&amp;CHOOSE(F3+1,"AX","BX","CX","DX")&amp;","&amp;IF(G3&gt;=128,CHOOSE(G3-128+1,"AX","BX","CX","DX"),G3),IF(E3=15,"HLT",IF(E3=16,"OR "&amp;CHOOSE(F3+1,"AX","BX","CX","DX")&amp;","&amp;IF(G3&gt;=128,CHOOSE(G3-128+1,"AX","BX","CX","DX"),G3),IF(E3=17,"XOR "&amp;CHOOSE(F3+1,"AX","BX","CX","DX")&amp;","&amp;IF(G3&gt;=128,CHOOSE(G3-128+1,"AX","BX","CX","DX"),G3),IF(E3=18,"DIV AX,"&amp;IF(G3&gt;=128,CHOOSE(G3-128+1,"AX","BX","CX","DX"),G3),"???")))))))))))))))))))</f>
        <v>LDR BX,[7]</v>
      </c>
      <c r="K3" t="s">
        <v>8</v>
      </c>
      <c r="L3" t="s">
        <v>9</v>
      </c>
      <c r="M3">
        <v>1</v>
      </c>
      <c r="P3" t="s">
        <v>8</v>
      </c>
      <c r="Q3" t="s">
        <v>9</v>
      </c>
      <c r="R3">
        <v>0</v>
      </c>
      <c r="U3" t="s">
        <v>43</v>
      </c>
      <c r="V3" t="s">
        <v>10</v>
      </c>
      <c r="W3">
        <v>2</v>
      </c>
    </row>
    <row r="4" spans="1:23" x14ac:dyDescent="0.2">
      <c r="A4">
        <v>2</v>
      </c>
      <c r="B4" t="s">
        <v>0</v>
      </c>
      <c r="C4" t="s">
        <v>9</v>
      </c>
      <c r="D4" t="s">
        <v>16</v>
      </c>
      <c r="E4">
        <f>CHOOSE(MATCH(B4,{"NOP","LDI","LDR","STR","MOV","ADDI","ADDR","SUBI","SUBR","JMP","JZ","JNZ","MUL","LOOP","AND","HLT","OR","XOR","DIV"},0),0,1,2,3,4,5,6,7,8,9,10,11,12,13,14,15,16,17,18)</f>
        <v>6</v>
      </c>
      <c r="F4">
        <f t="shared" si="0"/>
        <v>0</v>
      </c>
      <c r="G4">
        <f t="shared" si="1"/>
        <v>1</v>
      </c>
      <c r="H4" t="str">
        <f t="shared" si="2"/>
        <v>ADDR AX,BX</v>
      </c>
      <c r="K4" t="s">
        <v>44</v>
      </c>
      <c r="L4" t="s">
        <v>17</v>
      </c>
      <c r="M4" t="s">
        <v>10</v>
      </c>
      <c r="P4" t="s">
        <v>0</v>
      </c>
      <c r="Q4" t="s">
        <v>9</v>
      </c>
      <c r="R4" t="s">
        <v>10</v>
      </c>
      <c r="U4" t="s">
        <v>44</v>
      </c>
      <c r="V4" t="s">
        <v>17</v>
      </c>
      <c r="W4" t="s">
        <v>10</v>
      </c>
    </row>
    <row r="5" spans="1:23" x14ac:dyDescent="0.2">
      <c r="A5">
        <v>3</v>
      </c>
      <c r="B5" t="s">
        <v>41</v>
      </c>
      <c r="C5">
        <v>1</v>
      </c>
      <c r="E5">
        <f>CHOOSE(MATCH(B5,{"NOP","LDI","LDR","STR","MOV","ADDI","ADDR","SUBI","SUBR","JMP","JZ","JNZ","MUL","LOOP","AND","HLT","OR","XOR","DIV"},0),0,1,2,3,4,5,6,7,8,9,10,11,12,13,14,15,16,17,18)</f>
        <v>3</v>
      </c>
      <c r="F5">
        <f t="shared" si="0"/>
        <v>1</v>
      </c>
      <c r="G5">
        <f t="shared" si="1"/>
        <v>0</v>
      </c>
      <c r="H5" t="str">
        <f t="shared" si="2"/>
        <v>STR [1],AX</v>
      </c>
      <c r="K5" t="s">
        <v>45</v>
      </c>
      <c r="L5" t="s">
        <v>17</v>
      </c>
      <c r="M5">
        <v>0</v>
      </c>
      <c r="P5" t="s">
        <v>50</v>
      </c>
      <c r="Q5">
        <v>2</v>
      </c>
      <c r="U5" t="s">
        <v>45</v>
      </c>
      <c r="V5" t="s">
        <v>17</v>
      </c>
      <c r="W5">
        <v>0</v>
      </c>
    </row>
    <row r="6" spans="1:23" x14ac:dyDescent="0.2">
      <c r="A6">
        <v>4</v>
      </c>
      <c r="B6" t="s">
        <v>12</v>
      </c>
      <c r="E6">
        <f>CHOOSE(MATCH(B6,{"NOP","LDI","LDR","STR","MOV","ADDI","ADDR","SUBI","SUBR","JMP","JZ","JNZ","MUL","LOOP","AND","HLT","OR","XOR","DIV"},0),0,1,2,3,4,5,6,7,8,9,10,11,12,13,14,15,16,17,18)</f>
        <v>15</v>
      </c>
      <c r="F6">
        <f t="shared" si="0"/>
        <v>0</v>
      </c>
      <c r="G6">
        <f t="shared" si="1"/>
        <v>0</v>
      </c>
      <c r="H6" t="str">
        <f t="shared" si="2"/>
        <v>HLT</v>
      </c>
      <c r="K6" t="s">
        <v>46</v>
      </c>
      <c r="L6">
        <v>8</v>
      </c>
      <c r="P6" t="s">
        <v>41</v>
      </c>
      <c r="Q6">
        <v>11</v>
      </c>
      <c r="U6" t="s">
        <v>46</v>
      </c>
      <c r="V6">
        <v>10</v>
      </c>
    </row>
    <row r="7" spans="1:23" x14ac:dyDescent="0.2">
      <c r="A7">
        <v>5</v>
      </c>
      <c r="E7" t="e">
        <f>CHOOSE(MATCH(B7,{"NOP","LDI","LDR","STR","MOV","ADDI","ADDR","SUBI","SUBR","JMP","JZ","JNZ","MUL","LOOP","AND","HLT","OR","XOR","DIV"},0),0,1,2,3,4,5,6,7,8,9,10,11,12,13,14,15,16,17,18)</f>
        <v>#N/A</v>
      </c>
      <c r="F7">
        <f t="shared" si="0"/>
        <v>0</v>
      </c>
      <c r="G7">
        <f t="shared" si="1"/>
        <v>0</v>
      </c>
      <c r="H7" t="e">
        <f t="shared" si="2"/>
        <v>#N/A</v>
      </c>
      <c r="K7" t="s">
        <v>47</v>
      </c>
      <c r="L7" t="s">
        <v>9</v>
      </c>
      <c r="M7" t="s">
        <v>10</v>
      </c>
      <c r="P7" t="s">
        <v>12</v>
      </c>
      <c r="U7" t="s">
        <v>11</v>
      </c>
      <c r="V7" t="s">
        <v>10</v>
      </c>
    </row>
    <row r="8" spans="1:23" x14ac:dyDescent="0.2">
      <c r="A8">
        <v>6</v>
      </c>
      <c r="E8" t="e">
        <f>CHOOSE(MATCH(B8,{"NOP","LDI","LDR","STR","MOV","ADDI","ADDR","SUBI","SUBR","JMP","JZ","JNZ","MUL","LOOP","AND","HLT","OR","XOR","DIV"},0),0,1,2,3,4,5,6,7,8,9,10,11,12,13,14,15,16,17,18)</f>
        <v>#N/A</v>
      </c>
      <c r="F8">
        <f t="shared" si="0"/>
        <v>0</v>
      </c>
      <c r="G8">
        <f t="shared" si="1"/>
        <v>0</v>
      </c>
      <c r="H8" t="e">
        <f t="shared" si="2"/>
        <v>#N/A</v>
      </c>
      <c r="K8" t="s">
        <v>45</v>
      </c>
      <c r="L8" t="s">
        <v>10</v>
      </c>
      <c r="M8">
        <v>1</v>
      </c>
      <c r="U8" t="s">
        <v>44</v>
      </c>
      <c r="V8" t="s">
        <v>9</v>
      </c>
      <c r="W8" t="s">
        <v>10</v>
      </c>
    </row>
    <row r="9" spans="1:23" x14ac:dyDescent="0.2">
      <c r="A9">
        <v>7</v>
      </c>
      <c r="E9" t="e">
        <f>CHOOSE(MATCH(B9,{"NOP","LDI","LDR","STR","MOV","ADDI","ADDR","SUBI","SUBR","JMP","JZ","JNZ","MUL","LOOP","AND","HLT","OR","XOR","DIV"},0),0,1,2,3,4,5,6,7,8,9,10,11,12,13,14,15,16,17,18)</f>
        <v>#N/A</v>
      </c>
      <c r="F9">
        <f t="shared" si="0"/>
        <v>0</v>
      </c>
      <c r="G9">
        <f t="shared" si="1"/>
        <v>0</v>
      </c>
      <c r="H9" t="e">
        <f t="shared" si="2"/>
        <v>#N/A</v>
      </c>
      <c r="K9" t="s">
        <v>48</v>
      </c>
      <c r="L9">
        <v>5</v>
      </c>
      <c r="U9" t="s">
        <v>44</v>
      </c>
      <c r="V9" t="s">
        <v>10</v>
      </c>
      <c r="W9" t="s">
        <v>17</v>
      </c>
    </row>
    <row r="10" spans="1:23" x14ac:dyDescent="0.2">
      <c r="A10">
        <v>8</v>
      </c>
      <c r="E10" t="e">
        <f>CHOOSE(MATCH(B10,{"NOP","LDI","LDR","STR","MOV","ADDI","ADDR","SUBI","SUBR","JMP","JZ","JNZ","MUL","LOOP","AND","HLT","OR","XOR","DIV"},0),0,1,2,3,4,5,6,7,8,9,10,11,12,13,14,15,16,17,18)</f>
        <v>#N/A</v>
      </c>
      <c r="F10">
        <f t="shared" si="0"/>
        <v>0</v>
      </c>
      <c r="G10">
        <f t="shared" si="1"/>
        <v>0</v>
      </c>
      <c r="H10" t="e">
        <f t="shared" si="2"/>
        <v>#N/A</v>
      </c>
      <c r="K10" t="s">
        <v>41</v>
      </c>
      <c r="L10">
        <v>11</v>
      </c>
      <c r="U10" t="s">
        <v>52</v>
      </c>
      <c r="V10">
        <v>2</v>
      </c>
    </row>
    <row r="11" spans="1:23" x14ac:dyDescent="0.2">
      <c r="A11">
        <v>9</v>
      </c>
      <c r="E11" t="e">
        <f>CHOOSE(MATCH(B11,{"NOP","LDI","LDR","STR","MOV","ADDI","ADDR","SUBI","SUBR","JMP","JZ","JNZ","MUL","LOOP","AND","HLT","OR","XOR","DIV"},0),0,1,2,3,4,5,6,7,8,9,10,11,12,13,14,15,16,17,18)</f>
        <v>#N/A</v>
      </c>
      <c r="F11">
        <f>IF(C11="AX",0,IF(C11="BX",1,IF(C11="CX",2,IF(C11="DX",3,VALUE(C11)))))</f>
        <v>0</v>
      </c>
      <c r="G11">
        <f t="shared" si="1"/>
        <v>0</v>
      </c>
      <c r="H11" t="e">
        <f t="shared" si="2"/>
        <v>#N/A</v>
      </c>
      <c r="K11" t="s">
        <v>12</v>
      </c>
      <c r="U11" t="s">
        <v>41</v>
      </c>
      <c r="V11">
        <v>3</v>
      </c>
    </row>
    <row r="12" spans="1:23" x14ac:dyDescent="0.2">
      <c r="A12">
        <v>10</v>
      </c>
      <c r="E12" t="e">
        <f>CHOOSE(MATCH(B12,{"NOP","LDI","LDR","STR","MOV","ADDI","ADDR","SUBI","SUBR","JMP","JZ","JNZ","MUL","LOOP","AND","HLT","OR","XOR","DIV"},0),0,1,2,3,4,5,6,7,8,9,10,11,12,13,14,15,16,17,18)</f>
        <v>#N/A</v>
      </c>
      <c r="F12">
        <f>IF(C12="AX",0,IF(C12="BX",1,IF(C12="CX",2,IF(C12="DX",3,VALUE(C12)))))</f>
        <v>0</v>
      </c>
      <c r="G12">
        <f t="shared" si="1"/>
        <v>0</v>
      </c>
      <c r="H12" t="e">
        <f t="shared" si="2"/>
        <v>#N/A</v>
      </c>
      <c r="U12" t="s">
        <v>12</v>
      </c>
    </row>
    <row r="13" spans="1:23" x14ac:dyDescent="0.2">
      <c r="A13">
        <v>11</v>
      </c>
      <c r="E13" t="e">
        <f>CHOOSE(MATCH(B13,{"NOP","LDI","LDR","STR","MOV","ADDI","ADDR","SUBI","SUBR","JMP","JZ","JNZ","MUL","LOOP","AND","HLT","OR","XOR","DIV"},0),0,1,2,3,4,5,6,7,8,9,10,11,12,13,14,15,16,17,18)</f>
        <v>#N/A</v>
      </c>
      <c r="F13">
        <f>IF(C13="AX",0,IF(C13="BX",1,IF(C13="CX",2,IF(C13="DX",3,VALUE(C13)))))</f>
        <v>0</v>
      </c>
      <c r="G13">
        <f t="shared" si="1"/>
        <v>0</v>
      </c>
      <c r="H13" t="e">
        <f t="shared" si="2"/>
        <v>#N/A</v>
      </c>
    </row>
    <row r="14" spans="1:23" x14ac:dyDescent="0.2">
      <c r="A14">
        <v>12</v>
      </c>
      <c r="E14" t="e">
        <f>CHOOSE(MATCH(B14,{"NOP","LDI","LDR","STR","MOV","ADDI","ADDR","SUBI","SUBR","JMP","JZ","JNZ","MUL","LOOP","AND","HLT","OR","XOR","DIV"},0),0,1,2,3,4,5,6,7,8,9,10,11,12,13,14,15,16,17,18)</f>
        <v>#N/A</v>
      </c>
      <c r="F14">
        <f t="shared" si="0"/>
        <v>0</v>
      </c>
      <c r="G14">
        <f t="shared" si="1"/>
        <v>0</v>
      </c>
      <c r="H14" t="e">
        <f t="shared" si="2"/>
        <v>#N/A</v>
      </c>
    </row>
    <row r="15" spans="1:23" x14ac:dyDescent="0.2">
      <c r="A15">
        <v>13</v>
      </c>
      <c r="E15" t="e">
        <f>CHOOSE(MATCH(B15,{"NOP","LDI","LDR","STR","MOV","ADDI","ADDR","SUBI","SUBR","JMP","JZ","JNZ","MUL","LOOP","AND","HLT","OR","XOR","DIV"},0),0,1,2,3,4,5,6,7,8,9,10,11,12,13,14,15,16,17,18)</f>
        <v>#N/A</v>
      </c>
      <c r="F15">
        <f t="shared" si="0"/>
        <v>0</v>
      </c>
      <c r="G15">
        <f t="shared" si="1"/>
        <v>0</v>
      </c>
      <c r="H15" t="e">
        <f t="shared" si="2"/>
        <v>#N/A</v>
      </c>
    </row>
    <row r="16" spans="1:23" x14ac:dyDescent="0.2">
      <c r="A16">
        <v>14</v>
      </c>
      <c r="E16" t="e">
        <f>CHOOSE(MATCH(B16,{"NOP","LDI","LDR","STR","MOV","ADDI","ADDR","SUBI","SUBR","JMP","JZ","JNZ","MUL","LOOP","AND","HLT","OR","XOR","DIV"},0),0,1,2,3,4,5,6,7,8,9,10,11,12,13,14,15,16,17,18)</f>
        <v>#N/A</v>
      </c>
      <c r="F16">
        <f t="shared" si="0"/>
        <v>0</v>
      </c>
      <c r="G16">
        <f t="shared" si="1"/>
        <v>0</v>
      </c>
      <c r="H16" t="e">
        <f t="shared" si="2"/>
        <v>#N/A</v>
      </c>
    </row>
    <row r="17" spans="1:8" x14ac:dyDescent="0.2">
      <c r="A17">
        <v>15</v>
      </c>
      <c r="E17" t="e">
        <f>CHOOSE(MATCH(B17,{"NOP","LDI","LDR","STR","MOV","ADDI","ADDR","SUBI","SUBR","JMP","JZ","JNZ","MUL","LOOP","AND","HLT","OR","XOR","DIV"},0),0,1,2,3,4,5,6,7,8,9,10,11,12,13,14,15,16,17,18)</f>
        <v>#N/A</v>
      </c>
      <c r="F17">
        <f t="shared" si="0"/>
        <v>0</v>
      </c>
      <c r="G17">
        <f t="shared" si="1"/>
        <v>0</v>
      </c>
      <c r="H17" t="e">
        <f t="shared" si="2"/>
        <v>#N/A</v>
      </c>
    </row>
    <row r="18" spans="1:8" x14ac:dyDescent="0.2">
      <c r="A18">
        <v>16</v>
      </c>
      <c r="E18" t="e">
        <f>CHOOSE(MATCH(B18,{"NOP","LDI","LDR","STR","MOV","ADDI","ADDR","SUBI","SUBR","JMP","JZ","JNZ","MUL","LOOP","AND","HLT","OR","XOR","DIV"},0),0,1,2,3,4,5,6,7,8,9,10,11,12,13,14,15,16,17,18)</f>
        <v>#N/A</v>
      </c>
      <c r="F18">
        <f t="shared" si="0"/>
        <v>0</v>
      </c>
      <c r="G18">
        <f t="shared" si="1"/>
        <v>0</v>
      </c>
      <c r="H18" t="e">
        <f t="shared" si="2"/>
        <v>#N/A</v>
      </c>
    </row>
    <row r="19" spans="1:8" x14ac:dyDescent="0.2">
      <c r="A19">
        <v>17</v>
      </c>
      <c r="E19" t="e">
        <f>CHOOSE(MATCH(B19,{"NOP","LDI","LDR","STR","MOV","ADDI","ADDR","SUBI","SUBR","JMP","JZ","JNZ","MUL","LOOP","AND","HLT","OR","XOR","DIV"},0),0,1,2,3,4,5,6,7,8,9,10,11,12,13,14,15,16,17,18)</f>
        <v>#N/A</v>
      </c>
      <c r="F19">
        <f t="shared" si="0"/>
        <v>0</v>
      </c>
      <c r="G19">
        <f t="shared" si="1"/>
        <v>0</v>
      </c>
      <c r="H19" t="e">
        <f t="shared" si="2"/>
        <v>#N/A</v>
      </c>
    </row>
    <row r="20" spans="1:8" x14ac:dyDescent="0.2">
      <c r="A20">
        <v>18</v>
      </c>
      <c r="E20" t="e">
        <f>CHOOSE(MATCH(B20,{"NOP","LDI","LDR","STR","MOV","ADDI","ADDR","SUBI","SUBR","JMP","JZ","JNZ","MUL","LOOP","AND","HLT","OR","XOR","DIV"},0),0,1,2,3,4,5,6,7,8,9,10,11,12,13,14,15,16,17,18)</f>
        <v>#N/A</v>
      </c>
      <c r="F20">
        <f t="shared" si="0"/>
        <v>0</v>
      </c>
      <c r="G20">
        <f t="shared" si="1"/>
        <v>0</v>
      </c>
      <c r="H20" t="e">
        <f t="shared" si="2"/>
        <v>#N/A</v>
      </c>
    </row>
    <row r="21" spans="1:8" x14ac:dyDescent="0.2">
      <c r="A21">
        <v>19</v>
      </c>
      <c r="E21" t="e">
        <f>CHOOSE(MATCH(B21,{"NOP","LDI","LDR","STR","MOV","ADDI","ADDR","SUBI","SUBR","JMP","JZ","JNZ","MUL","LOOP","AND","HLT","OR","XOR","DIV"},0),0,1,2,3,4,5,6,7,8,9,10,11,12,13,14,15,16,17,18)</f>
        <v>#N/A</v>
      </c>
      <c r="F21">
        <f t="shared" si="0"/>
        <v>0</v>
      </c>
      <c r="G21">
        <f t="shared" si="1"/>
        <v>0</v>
      </c>
      <c r="H21" t="e">
        <f t="shared" si="2"/>
        <v>#N/A</v>
      </c>
    </row>
    <row r="22" spans="1:8" x14ac:dyDescent="0.2">
      <c r="A22">
        <v>20</v>
      </c>
      <c r="E22" t="e">
        <f>CHOOSE(MATCH(B22,{"NOP","LDI","LDR","STR","MOV","ADDI","ADDR","SUBI","SUBR","JMP","JZ","JNZ","MUL","LOOP","AND","HLT","OR","XOR","DIV"},0),0,1,2,3,4,5,6,7,8,9,10,11,12,13,14,15,16,17,18)</f>
        <v>#N/A</v>
      </c>
      <c r="F22">
        <f t="shared" si="0"/>
        <v>0</v>
      </c>
      <c r="G22">
        <f t="shared" si="1"/>
        <v>0</v>
      </c>
      <c r="H22" t="e">
        <f t="shared" si="2"/>
        <v>#N/A</v>
      </c>
    </row>
    <row r="23" spans="1:8" x14ac:dyDescent="0.2">
      <c r="A23">
        <v>21</v>
      </c>
      <c r="E23" t="e">
        <f>CHOOSE(MATCH(B23,{"NOP","LDI","LDR","STR","MOV","ADDI","ADDR","SUBI","SUBR","JMP","JZ","JNZ","MUL","LOOP","AND","HLT","OR","XOR","DIV"},0),0,1,2,3,4,5,6,7,8,9,10,11,12,13,14,15,16,17,18)</f>
        <v>#N/A</v>
      </c>
      <c r="F23">
        <f t="shared" si="0"/>
        <v>0</v>
      </c>
      <c r="G23">
        <f t="shared" si="1"/>
        <v>0</v>
      </c>
      <c r="H23" t="e">
        <f t="shared" si="2"/>
        <v>#N/A</v>
      </c>
    </row>
    <row r="24" spans="1:8" x14ac:dyDescent="0.2">
      <c r="A24">
        <v>22</v>
      </c>
      <c r="E24" t="e">
        <f>CHOOSE(MATCH(B24,{"NOP","LDI","LDR","STR","MOV","ADDI","ADDR","SUBI","SUBR","JMP","JZ","JNZ","MUL","LOOP","AND","HLT","OR","XOR","DIV"},0),0,1,2,3,4,5,6,7,8,9,10,11,12,13,14,15,16,17,18)</f>
        <v>#N/A</v>
      </c>
      <c r="F24">
        <f t="shared" si="0"/>
        <v>0</v>
      </c>
      <c r="G24">
        <f t="shared" si="1"/>
        <v>0</v>
      </c>
      <c r="H24" t="e">
        <f t="shared" si="2"/>
        <v>#N/A</v>
      </c>
    </row>
    <row r="25" spans="1:8" x14ac:dyDescent="0.2">
      <c r="A25">
        <v>23</v>
      </c>
      <c r="E25" t="e">
        <f>CHOOSE(MATCH(B25,{"NOP","LDI","LDR","STR","MOV","ADDI","ADDR","SUBI","SUBR","JMP","JZ","JNZ","MUL","LOOP","AND","HLT","OR","XOR","DIV"},0),0,1,2,3,4,5,6,7,8,9,10,11,12,13,14,15,16,17,18)</f>
        <v>#N/A</v>
      </c>
      <c r="F25">
        <f t="shared" si="0"/>
        <v>0</v>
      </c>
      <c r="G25">
        <f t="shared" si="1"/>
        <v>0</v>
      </c>
      <c r="H25" t="e">
        <f t="shared" si="2"/>
        <v>#N/A</v>
      </c>
    </row>
    <row r="26" spans="1:8" x14ac:dyDescent="0.2">
      <c r="A26">
        <v>24</v>
      </c>
      <c r="E26" t="e">
        <f>CHOOSE(MATCH(B26,{"NOP","LDI","LDR","STR","MOV","ADDI","ADDR","SUBI","SUBR","JMP","JZ","JNZ","MUL","LOOP","AND","HLT","OR","XOR","DIV"},0),0,1,2,3,4,5,6,7,8,9,10,11,12,13,14,15,16,17,18)</f>
        <v>#N/A</v>
      </c>
      <c r="F26">
        <f t="shared" si="0"/>
        <v>0</v>
      </c>
      <c r="G26">
        <f t="shared" si="1"/>
        <v>0</v>
      </c>
      <c r="H26" t="e">
        <f t="shared" si="2"/>
        <v>#N/A</v>
      </c>
    </row>
    <row r="27" spans="1:8" x14ac:dyDescent="0.2">
      <c r="A27">
        <v>25</v>
      </c>
      <c r="E27" t="e">
        <f>CHOOSE(MATCH(B27,{"NOP","LDI","LDR","STR","MOV","ADDI","ADDR","SUBI","SUBR","JMP","JZ","JNZ","MUL","LOOP","AND","HLT","OR","XOR","DIV"},0),0,1,2,3,4,5,6,7,8,9,10,11,12,13,14,15,16,17,18)</f>
        <v>#N/A</v>
      </c>
      <c r="F27">
        <f t="shared" si="0"/>
        <v>0</v>
      </c>
      <c r="G27">
        <f t="shared" si="1"/>
        <v>0</v>
      </c>
      <c r="H27" t="e">
        <f t="shared" si="2"/>
        <v>#N/A</v>
      </c>
    </row>
    <row r="28" spans="1:8" x14ac:dyDescent="0.2">
      <c r="A28">
        <v>26</v>
      </c>
      <c r="E28" t="e">
        <f>CHOOSE(MATCH(B28,{"NOP","LDI","LDR","STR","MOV","ADDI","ADDR","SUBI","SUBR","JMP","JZ","JNZ","MUL","LOOP","AND","HLT","OR","XOR","DIV"},0),0,1,2,3,4,5,6,7,8,9,10,11,12,13,14,15,16,17,18)</f>
        <v>#N/A</v>
      </c>
      <c r="F28">
        <f t="shared" si="0"/>
        <v>0</v>
      </c>
      <c r="G28">
        <f t="shared" si="1"/>
        <v>0</v>
      </c>
      <c r="H28" t="e">
        <f t="shared" si="2"/>
        <v>#N/A</v>
      </c>
    </row>
    <row r="29" spans="1:8" x14ac:dyDescent="0.2">
      <c r="A29">
        <v>27</v>
      </c>
      <c r="E29" t="e">
        <f>CHOOSE(MATCH(B29,{"NOP","LDI","LDR","STR","MOV","ADDI","ADDR","SUBI","SUBR","JMP","JZ","JNZ","MUL","LOOP","AND","HLT","OR","XOR","DIV"},0),0,1,2,3,4,5,6,7,8,9,10,11,12,13,14,15,16,17,18)</f>
        <v>#N/A</v>
      </c>
      <c r="F29">
        <f t="shared" si="0"/>
        <v>0</v>
      </c>
      <c r="G29">
        <f t="shared" si="1"/>
        <v>0</v>
      </c>
      <c r="H29" t="e">
        <f t="shared" si="2"/>
        <v>#N/A</v>
      </c>
    </row>
    <row r="30" spans="1:8" x14ac:dyDescent="0.2">
      <c r="A30">
        <v>28</v>
      </c>
      <c r="E30" t="e">
        <f>CHOOSE(MATCH(B30,{"NOP","LDI","LDR","STR","MOV","ADDI","ADDR","SUBI","SUBR","JMP","JZ","JNZ","MUL","LOOP","AND","HLT","OR","XOR","DIV"},0),0,1,2,3,4,5,6,7,8,9,10,11,12,13,14,15,16,17,18)</f>
        <v>#N/A</v>
      </c>
      <c r="F30">
        <f t="shared" si="0"/>
        <v>0</v>
      </c>
      <c r="G30">
        <f t="shared" si="1"/>
        <v>0</v>
      </c>
      <c r="H30" t="e">
        <f t="shared" si="2"/>
        <v>#N/A</v>
      </c>
    </row>
    <row r="31" spans="1:8" x14ac:dyDescent="0.2">
      <c r="A31">
        <v>29</v>
      </c>
      <c r="E31" t="e">
        <f>CHOOSE(MATCH(B31,{"NOP","LDI","LDR","STR","MOV","ADDI","ADDR","SUBI","SUBR","JMP","JZ","JNZ","MUL","LOOP","AND","HLT","OR","XOR","DIV"},0),0,1,2,3,4,5,6,7,8,9,10,11,12,13,14,15,16,17,18)</f>
        <v>#N/A</v>
      </c>
      <c r="F31">
        <f t="shared" si="0"/>
        <v>0</v>
      </c>
      <c r="G31">
        <f t="shared" si="1"/>
        <v>0</v>
      </c>
      <c r="H31" t="e">
        <f t="shared" si="2"/>
        <v>#N/A</v>
      </c>
    </row>
    <row r="32" spans="1:8" x14ac:dyDescent="0.2">
      <c r="A32">
        <v>30</v>
      </c>
      <c r="E32" t="e">
        <f>CHOOSE(MATCH(B32,{"NOP","LDI","LDR","STR","MOV","ADDI","ADDR","SUBI","SUBR","JMP","JZ","JNZ","MUL","LOOP","AND","HLT","OR","XOR","DIV"},0),0,1,2,3,4,5,6,7,8,9,10,11,12,13,14,15,16,17,18)</f>
        <v>#N/A</v>
      </c>
      <c r="F32">
        <f t="shared" si="0"/>
        <v>0</v>
      </c>
      <c r="G32">
        <f t="shared" si="1"/>
        <v>0</v>
      </c>
      <c r="H32" t="e">
        <f t="shared" si="2"/>
        <v>#N/A</v>
      </c>
    </row>
    <row r="33" spans="1:8" x14ac:dyDescent="0.2">
      <c r="A33">
        <v>31</v>
      </c>
      <c r="E33" t="e">
        <f>CHOOSE(MATCH(B33,{"NOP","LDI","LDR","STR","MOV","ADDI","ADDR","SUBI","SUBR","JMP","JZ","JNZ","MUL","LOOP","AND","HLT","OR","XOR","DIV"},0),0,1,2,3,4,5,6,7,8,9,10,11,12,13,14,15,16,17,18)</f>
        <v>#N/A</v>
      </c>
      <c r="F33">
        <f t="shared" si="0"/>
        <v>0</v>
      </c>
      <c r="G33">
        <f t="shared" si="1"/>
        <v>0</v>
      </c>
      <c r="H33" t="e">
        <f t="shared" si="2"/>
        <v>#N/A</v>
      </c>
    </row>
    <row r="34" spans="1:8" x14ac:dyDescent="0.2">
      <c r="A34">
        <v>32</v>
      </c>
      <c r="E34" t="e">
        <f>CHOOSE(MATCH(B34,{"NOP","LDI","LDR","STR","MOV","ADDI","ADDR","SUBI","SUBR","JMP","JZ","JNZ","MUL","LOOP","AND","HLT","OR","XOR","DIV"},0),0,1,2,3,4,5,6,7,8,9,10,11,12,13,14,15,16,17,18)</f>
        <v>#N/A</v>
      </c>
      <c r="F34">
        <f t="shared" si="0"/>
        <v>0</v>
      </c>
      <c r="G34">
        <f t="shared" si="1"/>
        <v>0</v>
      </c>
      <c r="H34" t="e">
        <f t="shared" si="2"/>
        <v>#N/A</v>
      </c>
    </row>
    <row r="35" spans="1:8" x14ac:dyDescent="0.2">
      <c r="A35">
        <v>33</v>
      </c>
      <c r="E35" t="e">
        <f>CHOOSE(MATCH(B35,{"NOP","LDI","LDR","STR","MOV","ADDI","ADDR","SUBI","SUBR","JMP","JZ","JNZ","MUL","LOOP","AND","HLT","OR","XOR","DIV"},0),0,1,2,3,4,5,6,7,8,9,10,11,12,13,14,15,16,17,18)</f>
        <v>#N/A</v>
      </c>
      <c r="F35">
        <f t="shared" si="0"/>
        <v>0</v>
      </c>
      <c r="G35">
        <f t="shared" si="1"/>
        <v>0</v>
      </c>
      <c r="H35" t="e">
        <f t="shared" si="2"/>
        <v>#N/A</v>
      </c>
    </row>
    <row r="36" spans="1:8" x14ac:dyDescent="0.2">
      <c r="A36">
        <v>34</v>
      </c>
      <c r="E36" t="e">
        <f>CHOOSE(MATCH(B36,{"NOP","LDI","LDR","STR","MOV","ADDI","ADDR","SUBI","SUBR","JMP","JZ","JNZ","MUL","LOOP","AND","HLT","OR","XOR","DIV"},0),0,1,2,3,4,5,6,7,8,9,10,11,12,13,14,15,16,17,18)</f>
        <v>#N/A</v>
      </c>
      <c r="F36">
        <f t="shared" si="0"/>
        <v>0</v>
      </c>
      <c r="G36">
        <f t="shared" si="1"/>
        <v>0</v>
      </c>
      <c r="H36" t="e">
        <f t="shared" si="2"/>
        <v>#N/A</v>
      </c>
    </row>
    <row r="37" spans="1:8" x14ac:dyDescent="0.2">
      <c r="A37">
        <v>35</v>
      </c>
      <c r="E37" t="e">
        <f>CHOOSE(MATCH(B37,{"NOP","LDI","LDR","STR","MOV","ADDI","ADDR","SUBI","SUBR","JMP","JZ","JNZ","MUL","LOOP","AND","HLT","OR","XOR","DIV"},0),0,1,2,3,4,5,6,7,8,9,10,11,12,13,14,15,16,17,18)</f>
        <v>#N/A</v>
      </c>
      <c r="F37">
        <f t="shared" si="0"/>
        <v>0</v>
      </c>
      <c r="G37">
        <f t="shared" si="1"/>
        <v>0</v>
      </c>
      <c r="H37" t="e">
        <f t="shared" si="2"/>
        <v>#N/A</v>
      </c>
    </row>
    <row r="38" spans="1:8" x14ac:dyDescent="0.2">
      <c r="A38">
        <v>36</v>
      </c>
      <c r="E38" t="e">
        <f>CHOOSE(MATCH(B38,{"NOP","LDI","LDR","STR","MOV","ADDI","ADDR","SUBI","SUBR","JMP","JZ","JNZ","MUL","LOOP","AND","HLT","OR","XOR","DIV"},0),0,1,2,3,4,5,6,7,8,9,10,11,12,13,14,15,16,17,18)</f>
        <v>#N/A</v>
      </c>
      <c r="F38">
        <f t="shared" si="0"/>
        <v>0</v>
      </c>
      <c r="G38">
        <f t="shared" si="1"/>
        <v>0</v>
      </c>
      <c r="H38" t="e">
        <f t="shared" si="2"/>
        <v>#N/A</v>
      </c>
    </row>
    <row r="39" spans="1:8" x14ac:dyDescent="0.2">
      <c r="A39">
        <v>37</v>
      </c>
      <c r="E39" t="e">
        <f>CHOOSE(MATCH(B39,{"NOP","LDI","LDR","STR","MOV","ADDI","ADDR","SUBI","SUBR","JMP","JZ","JNZ","MUL","LOOP","AND","HLT","OR","XOR","DIV"},0),0,1,2,3,4,5,6,7,8,9,10,11,12,13,14,15,16,17,18)</f>
        <v>#N/A</v>
      </c>
      <c r="F39">
        <f t="shared" si="0"/>
        <v>0</v>
      </c>
      <c r="G39">
        <f t="shared" si="1"/>
        <v>0</v>
      </c>
      <c r="H39" t="e">
        <f t="shared" si="2"/>
        <v>#N/A</v>
      </c>
    </row>
    <row r="40" spans="1:8" x14ac:dyDescent="0.2">
      <c r="A40">
        <v>38</v>
      </c>
      <c r="E40" t="e">
        <f>CHOOSE(MATCH(B40,{"NOP","LDI","LDR","STR","MOV","ADDI","ADDR","SUBI","SUBR","JMP","JZ","JNZ","MUL","LOOP","AND","HLT","OR","XOR","DIV"},0),0,1,2,3,4,5,6,7,8,9,10,11,12,13,14,15,16,17,18)</f>
        <v>#N/A</v>
      </c>
      <c r="F40">
        <f t="shared" si="0"/>
        <v>0</v>
      </c>
      <c r="G40">
        <f t="shared" si="1"/>
        <v>0</v>
      </c>
      <c r="H40" t="e">
        <f t="shared" si="2"/>
        <v>#N/A</v>
      </c>
    </row>
    <row r="41" spans="1:8" x14ac:dyDescent="0.2">
      <c r="A41">
        <v>39</v>
      </c>
      <c r="E41" t="e">
        <f>CHOOSE(MATCH(B41,{"NOP","LDI","LDR","STR","MOV","ADDI","ADDR","SUBI","SUBR","JMP","JZ","JNZ","MUL","LOOP","AND","HLT","OR","XOR","DIV"},0),0,1,2,3,4,5,6,7,8,9,10,11,12,13,14,15,16,17,18)</f>
        <v>#N/A</v>
      </c>
      <c r="F41">
        <f t="shared" si="0"/>
        <v>0</v>
      </c>
      <c r="G41">
        <f t="shared" si="1"/>
        <v>0</v>
      </c>
      <c r="H41" t="e">
        <f t="shared" si="2"/>
        <v>#N/A</v>
      </c>
    </row>
    <row r="42" spans="1:8" x14ac:dyDescent="0.2">
      <c r="A42">
        <v>40</v>
      </c>
      <c r="E42" t="e">
        <f>CHOOSE(MATCH(B42,{"NOP","LDI","LDR","STR","MOV","ADDI","ADDR","SUBI","SUBR","JMP","JZ","JNZ","MUL","LOOP","AND","HLT","OR","XOR","DIV"},0),0,1,2,3,4,5,6,7,8,9,10,11,12,13,14,15,16,17,18)</f>
        <v>#N/A</v>
      </c>
      <c r="F42">
        <f t="shared" si="0"/>
        <v>0</v>
      </c>
      <c r="G42">
        <f t="shared" si="1"/>
        <v>0</v>
      </c>
      <c r="H42" t="e">
        <f t="shared" si="2"/>
        <v>#N/A</v>
      </c>
    </row>
    <row r="43" spans="1:8" x14ac:dyDescent="0.2">
      <c r="A43">
        <v>41</v>
      </c>
      <c r="E43" t="e">
        <f>CHOOSE(MATCH(B43,{"NOP","LDI","LDR","STR","MOV","ADDI","ADDR","SUBI","SUBR","JMP","JZ","JNZ","MUL","LOOP","AND","HLT","OR","XOR","DIV"},0),0,1,2,3,4,5,6,7,8,9,10,11,12,13,14,15,16,17,18)</f>
        <v>#N/A</v>
      </c>
      <c r="F43">
        <f t="shared" si="0"/>
        <v>0</v>
      </c>
      <c r="G43">
        <f t="shared" si="1"/>
        <v>0</v>
      </c>
      <c r="H43" t="e">
        <f t="shared" si="2"/>
        <v>#N/A</v>
      </c>
    </row>
    <row r="44" spans="1:8" x14ac:dyDescent="0.2">
      <c r="A44">
        <v>42</v>
      </c>
      <c r="E44" t="e">
        <f>CHOOSE(MATCH(B44,{"NOP","LDI","LDR","STR","MOV","ADDI","ADDR","SUBI","SUBR","JMP","JZ","JNZ","MUL","LOOP","AND","HLT","OR","XOR","DIV"},0),0,1,2,3,4,5,6,7,8,9,10,11,12,13,14,15,16,17,18)</f>
        <v>#N/A</v>
      </c>
      <c r="F44">
        <f t="shared" si="0"/>
        <v>0</v>
      </c>
      <c r="G44">
        <f t="shared" si="1"/>
        <v>0</v>
      </c>
      <c r="H44" t="e">
        <f t="shared" si="2"/>
        <v>#N/A</v>
      </c>
    </row>
    <row r="45" spans="1:8" x14ac:dyDescent="0.2">
      <c r="A45">
        <v>43</v>
      </c>
      <c r="E45" t="e">
        <f>CHOOSE(MATCH(B45,{"NOP","LDI","LDR","STR","MOV","ADDI","ADDR","SUBI","SUBR","JMP","JZ","JNZ","MUL","LOOP","AND","HLT","OR","XOR","DIV"},0),0,1,2,3,4,5,6,7,8,9,10,11,12,13,14,15,16,17,18)</f>
        <v>#N/A</v>
      </c>
      <c r="F45">
        <f t="shared" si="0"/>
        <v>0</v>
      </c>
      <c r="G45">
        <f t="shared" si="1"/>
        <v>0</v>
      </c>
      <c r="H45" t="e">
        <f t="shared" si="2"/>
        <v>#N/A</v>
      </c>
    </row>
    <row r="46" spans="1:8" x14ac:dyDescent="0.2">
      <c r="A46">
        <v>44</v>
      </c>
      <c r="E46" t="e">
        <f>CHOOSE(MATCH(B46,{"NOP","LDI","LDR","STR","MOV","ADDI","ADDR","SUBI","SUBR","JMP","JZ","JNZ","MUL","LOOP","AND","HLT","OR","XOR","DIV"},0),0,1,2,3,4,5,6,7,8,9,10,11,12,13,14,15,16,17,18)</f>
        <v>#N/A</v>
      </c>
      <c r="F46">
        <f t="shared" si="0"/>
        <v>0</v>
      </c>
      <c r="G46">
        <f t="shared" si="1"/>
        <v>0</v>
      </c>
      <c r="H46" t="e">
        <f t="shared" si="2"/>
        <v>#N/A</v>
      </c>
    </row>
    <row r="47" spans="1:8" x14ac:dyDescent="0.2">
      <c r="A47">
        <v>45</v>
      </c>
      <c r="E47" t="e">
        <f>CHOOSE(MATCH(B47,{"NOP","LDI","LDR","STR","MOV","ADDI","ADDR","SUBI","SUBR","JMP","JZ","JNZ","MUL","LOOP","AND","HLT","OR","XOR","DIV"},0),0,1,2,3,4,5,6,7,8,9,10,11,12,13,14,15,16,17,18)</f>
        <v>#N/A</v>
      </c>
      <c r="F47">
        <f t="shared" si="0"/>
        <v>0</v>
      </c>
      <c r="G47">
        <f t="shared" si="1"/>
        <v>0</v>
      </c>
      <c r="H47" t="e">
        <f t="shared" si="2"/>
        <v>#N/A</v>
      </c>
    </row>
    <row r="48" spans="1:8" x14ac:dyDescent="0.2">
      <c r="A48">
        <v>46</v>
      </c>
      <c r="E48" t="e">
        <f>CHOOSE(MATCH(B48,{"NOP","LDI","LDR","STR","MOV","ADDI","ADDR","SUBI","SUBR","JMP","JZ","JNZ","MUL","LOOP","AND","HLT","OR","XOR","DIV"},0),0,1,2,3,4,5,6,7,8,9,10,11,12,13,14,15,16,17,18)</f>
        <v>#N/A</v>
      </c>
      <c r="F48">
        <f t="shared" si="0"/>
        <v>0</v>
      </c>
      <c r="G48">
        <f t="shared" si="1"/>
        <v>0</v>
      </c>
      <c r="H48" t="e">
        <f t="shared" si="2"/>
        <v>#N/A</v>
      </c>
    </row>
    <row r="49" spans="1:8" x14ac:dyDescent="0.2">
      <c r="A49">
        <v>47</v>
      </c>
      <c r="E49" t="e">
        <f>CHOOSE(MATCH(B49,{"NOP","LDI","LDR","STR","MOV","ADDI","ADDR","SUBI","SUBR","JMP","JZ","JNZ","MUL","LOOP","AND","HLT","OR","XOR","DIV"},0),0,1,2,3,4,5,6,7,8,9,10,11,12,13,14,15,16,17,18)</f>
        <v>#N/A</v>
      </c>
      <c r="F49">
        <f t="shared" si="0"/>
        <v>0</v>
      </c>
      <c r="G49">
        <f t="shared" si="1"/>
        <v>0</v>
      </c>
      <c r="H49" t="e">
        <f t="shared" si="2"/>
        <v>#N/A</v>
      </c>
    </row>
    <row r="50" spans="1:8" x14ac:dyDescent="0.2">
      <c r="A50">
        <v>48</v>
      </c>
      <c r="E50" t="e">
        <f>CHOOSE(MATCH(B50,{"NOP","LDI","LDR","STR","MOV","ADDI","ADDR","SUBI","SUBR","JMP","JZ","JNZ","MUL","LOOP","AND","HLT","OR","XOR","DIV"},0),0,1,2,3,4,5,6,7,8,9,10,11,12,13,14,15,16,17,18)</f>
        <v>#N/A</v>
      </c>
      <c r="F50">
        <f t="shared" si="0"/>
        <v>0</v>
      </c>
      <c r="G50">
        <f t="shared" si="1"/>
        <v>0</v>
      </c>
      <c r="H50" t="e">
        <f t="shared" si="2"/>
        <v>#N/A</v>
      </c>
    </row>
    <row r="51" spans="1:8" x14ac:dyDescent="0.2">
      <c r="A51">
        <v>49</v>
      </c>
      <c r="E51" t="e">
        <f>CHOOSE(MATCH(B51,{"NOP","LDI","LDR","STR","MOV","ADDI","ADDR","SUBI","SUBR","JMP","JZ","JNZ","MUL","LOOP","AND","HLT","OR","XOR","DIV"},0),0,1,2,3,4,5,6,7,8,9,10,11,12,13,14,15,16,17,18)</f>
        <v>#N/A</v>
      </c>
      <c r="F51">
        <f t="shared" si="0"/>
        <v>0</v>
      </c>
      <c r="G51">
        <f t="shared" si="1"/>
        <v>0</v>
      </c>
      <c r="H51" t="e">
        <f t="shared" si="2"/>
        <v>#N/A</v>
      </c>
    </row>
    <row r="52" spans="1:8" x14ac:dyDescent="0.2">
      <c r="A52">
        <v>50</v>
      </c>
      <c r="E52" t="e">
        <f>CHOOSE(MATCH(B52,{"NOP","LDI","LDR","STR","MOV","ADDI","ADDR","SUBI","SUBR","JMP","JZ","JNZ","MUL","LOOP","AND","HLT","OR","XOR","DIV"},0),0,1,2,3,4,5,6,7,8,9,10,11,12,13,14,15,16,17,18)</f>
        <v>#N/A</v>
      </c>
      <c r="F52">
        <f t="shared" si="0"/>
        <v>0</v>
      </c>
      <c r="G52">
        <f t="shared" si="1"/>
        <v>0</v>
      </c>
      <c r="H52" t="e">
        <f t="shared" si="2"/>
        <v>#N/A</v>
      </c>
    </row>
    <row r="53" spans="1:8" x14ac:dyDescent="0.2">
      <c r="A53">
        <v>51</v>
      </c>
      <c r="E53" t="e">
        <f>CHOOSE(MATCH(B53,{"NOP","LDI","LDR","STR","MOV","ADDI","ADDR","SUBI","SUBR","JMP","JZ","JNZ","MUL","LOOP","AND","HLT","OR","XOR","DIV"},0),0,1,2,3,4,5,6,7,8,9,10,11,12,13,14,15,16,17,18)</f>
        <v>#N/A</v>
      </c>
      <c r="F53">
        <f t="shared" si="0"/>
        <v>0</v>
      </c>
      <c r="G53">
        <f t="shared" si="1"/>
        <v>0</v>
      </c>
      <c r="H53" t="e">
        <f t="shared" si="2"/>
        <v>#N/A</v>
      </c>
    </row>
    <row r="54" spans="1:8" x14ac:dyDescent="0.2">
      <c r="A54">
        <v>52</v>
      </c>
      <c r="E54" t="e">
        <f>CHOOSE(MATCH(B54,{"NOP","LDI","LDR","STR","MOV","ADDI","ADDR","SUBI","SUBR","JMP","JZ","JNZ","MUL","LOOP","AND","HLT","OR","XOR","DIV"},0),0,1,2,3,4,5,6,7,8,9,10,11,12,13,14,15,16,17,18)</f>
        <v>#N/A</v>
      </c>
      <c r="F54">
        <f t="shared" si="0"/>
        <v>0</v>
      </c>
      <c r="G54">
        <f t="shared" si="1"/>
        <v>0</v>
      </c>
      <c r="H54" t="e">
        <f t="shared" si="2"/>
        <v>#N/A</v>
      </c>
    </row>
    <row r="55" spans="1:8" x14ac:dyDescent="0.2">
      <c r="A55">
        <v>53</v>
      </c>
      <c r="E55" t="e">
        <f>CHOOSE(MATCH(B55,{"NOP","LDI","LDR","STR","MOV","ADDI","ADDR","SUBI","SUBR","JMP","JZ","JNZ","MUL","LOOP","AND","HLT","OR","XOR","DIV"},0),0,1,2,3,4,5,6,7,8,9,10,11,12,13,14,15,16,17,18)</f>
        <v>#N/A</v>
      </c>
      <c r="F55">
        <f t="shared" si="0"/>
        <v>0</v>
      </c>
      <c r="G55">
        <f t="shared" si="1"/>
        <v>0</v>
      </c>
      <c r="H55" t="e">
        <f t="shared" si="2"/>
        <v>#N/A</v>
      </c>
    </row>
    <row r="56" spans="1:8" x14ac:dyDescent="0.2">
      <c r="A56">
        <v>54</v>
      </c>
      <c r="E56" t="e">
        <f>CHOOSE(MATCH(B56,{"NOP","LDI","LDR","STR","MOV","ADDI","ADDR","SUBI","SUBR","JMP","JZ","JNZ","MUL","LOOP","AND","HLT","OR","XOR","DIV"},0),0,1,2,3,4,5,6,7,8,9,10,11,12,13,14,15,16,17,18)</f>
        <v>#N/A</v>
      </c>
      <c r="F56">
        <f t="shared" si="0"/>
        <v>0</v>
      </c>
      <c r="G56">
        <f t="shared" si="1"/>
        <v>0</v>
      </c>
      <c r="H56" t="e">
        <f t="shared" si="2"/>
        <v>#N/A</v>
      </c>
    </row>
    <row r="57" spans="1:8" x14ac:dyDescent="0.2">
      <c r="A57">
        <v>55</v>
      </c>
      <c r="E57" t="e">
        <f>CHOOSE(MATCH(B57,{"NOP","LDI","LDR","STR","MOV","ADDI","ADDR","SUBI","SUBR","JMP","JZ","JNZ","MUL","LOOP","AND","HLT","OR","XOR","DIV"},0),0,1,2,3,4,5,6,7,8,9,10,11,12,13,14,15,16,17,18)</f>
        <v>#N/A</v>
      </c>
      <c r="F57">
        <f t="shared" si="0"/>
        <v>0</v>
      </c>
      <c r="G57">
        <f t="shared" si="1"/>
        <v>0</v>
      </c>
      <c r="H57" t="e">
        <f t="shared" si="2"/>
        <v>#N/A</v>
      </c>
    </row>
    <row r="58" spans="1:8" x14ac:dyDescent="0.2">
      <c r="A58">
        <v>56</v>
      </c>
      <c r="E58" t="e">
        <f>CHOOSE(MATCH(B58,{"NOP","LDI","LDR","STR","MOV","ADDI","ADDR","SUBI","SUBR","JMP","JZ","JNZ","MUL","LOOP","AND","HLT","OR","XOR","DIV"},0),0,1,2,3,4,5,6,7,8,9,10,11,12,13,14,15,16,17,18)</f>
        <v>#N/A</v>
      </c>
      <c r="F58">
        <f t="shared" si="0"/>
        <v>0</v>
      </c>
      <c r="G58">
        <f t="shared" si="1"/>
        <v>0</v>
      </c>
      <c r="H58" t="e">
        <f t="shared" si="2"/>
        <v>#N/A</v>
      </c>
    </row>
    <row r="59" spans="1:8" x14ac:dyDescent="0.2">
      <c r="A59">
        <v>57</v>
      </c>
      <c r="E59" t="e">
        <f>CHOOSE(MATCH(B59,{"NOP","LDI","LDR","STR","MOV","ADDI","ADDR","SUBI","SUBR","JMP","JZ","JNZ","MUL","LOOP","AND","HLT","OR","XOR","DIV"},0),0,1,2,3,4,5,6,7,8,9,10,11,12,13,14,15,16,17,18)</f>
        <v>#N/A</v>
      </c>
      <c r="F59">
        <f t="shared" si="0"/>
        <v>0</v>
      </c>
      <c r="G59">
        <f t="shared" si="1"/>
        <v>0</v>
      </c>
      <c r="H59" t="e">
        <f t="shared" si="2"/>
        <v>#N/A</v>
      </c>
    </row>
    <row r="60" spans="1:8" x14ac:dyDescent="0.2">
      <c r="A60">
        <v>58</v>
      </c>
      <c r="E60" t="e">
        <f>CHOOSE(MATCH(B60,{"NOP","LDI","LDR","STR","MOV","ADDI","ADDR","SUBI","SUBR","JMP","JZ","JNZ","MUL","LOOP","AND","HLT","OR","XOR","DIV"},0),0,1,2,3,4,5,6,7,8,9,10,11,12,13,14,15,16,17,18)</f>
        <v>#N/A</v>
      </c>
      <c r="F60">
        <f t="shared" si="0"/>
        <v>0</v>
      </c>
      <c r="G60">
        <f t="shared" si="1"/>
        <v>0</v>
      </c>
      <c r="H60" t="e">
        <f t="shared" si="2"/>
        <v>#N/A</v>
      </c>
    </row>
    <row r="61" spans="1:8" x14ac:dyDescent="0.2">
      <c r="A61">
        <v>59</v>
      </c>
      <c r="E61" t="e">
        <f>CHOOSE(MATCH(B61,{"NOP","LDI","LDR","STR","MOV","ADDI","ADDR","SUBI","SUBR","JMP","JZ","JNZ","MUL","LOOP","AND","HLT","OR","XOR","DIV"},0),0,1,2,3,4,5,6,7,8,9,10,11,12,13,14,15,16,17,18)</f>
        <v>#N/A</v>
      </c>
      <c r="F61">
        <f t="shared" si="0"/>
        <v>0</v>
      </c>
      <c r="G61">
        <f t="shared" si="1"/>
        <v>0</v>
      </c>
      <c r="H61" t="e">
        <f t="shared" si="2"/>
        <v>#N/A</v>
      </c>
    </row>
    <row r="62" spans="1:8" x14ac:dyDescent="0.2">
      <c r="A62">
        <v>60</v>
      </c>
      <c r="E62" t="e">
        <f>CHOOSE(MATCH(B62,{"NOP","LDI","LDR","STR","MOV","ADDI","ADDR","SUBI","SUBR","JMP","JZ","JNZ","MUL","LOOP","AND","HLT","OR","XOR","DIV"},0),0,1,2,3,4,5,6,7,8,9,10,11,12,13,14,15,16,17,18)</f>
        <v>#N/A</v>
      </c>
      <c r="F62">
        <f t="shared" si="0"/>
        <v>0</v>
      </c>
      <c r="G62">
        <f t="shared" si="1"/>
        <v>0</v>
      </c>
      <c r="H62" t="e">
        <f t="shared" si="2"/>
        <v>#N/A</v>
      </c>
    </row>
    <row r="63" spans="1:8" x14ac:dyDescent="0.2">
      <c r="A63">
        <v>61</v>
      </c>
      <c r="E63" t="e">
        <f>CHOOSE(MATCH(B63,{"NOP","LDI","LDR","STR","MOV","ADDI","ADDR","SUBI","SUBR","JMP","JZ","JNZ","MUL","LOOP","AND","HLT","OR","XOR","DIV"},0),0,1,2,3,4,5,6,7,8,9,10,11,12,13,14,15,16,17,18)</f>
        <v>#N/A</v>
      </c>
      <c r="F63">
        <f t="shared" si="0"/>
        <v>0</v>
      </c>
      <c r="G63">
        <f t="shared" si="1"/>
        <v>0</v>
      </c>
      <c r="H63" t="e">
        <f t="shared" si="2"/>
        <v>#N/A</v>
      </c>
    </row>
    <row r="64" spans="1:8" x14ac:dyDescent="0.2">
      <c r="A64">
        <v>62</v>
      </c>
      <c r="E64" t="e">
        <f>CHOOSE(MATCH(B64,{"NOP","LDI","LDR","STR","MOV","ADDI","ADDR","SUBI","SUBR","JMP","JZ","JNZ","MUL","LOOP","AND","HLT","OR","XOR","DIV"},0),0,1,2,3,4,5,6,7,8,9,10,11,12,13,14,15,16,17,18)</f>
        <v>#N/A</v>
      </c>
      <c r="F64">
        <f t="shared" si="0"/>
        <v>0</v>
      </c>
      <c r="G64">
        <f t="shared" si="1"/>
        <v>0</v>
      </c>
      <c r="H64" t="e">
        <f t="shared" si="2"/>
        <v>#N/A</v>
      </c>
    </row>
    <row r="65" spans="1:8" x14ac:dyDescent="0.2">
      <c r="A65">
        <v>63</v>
      </c>
      <c r="E65" t="e">
        <f>CHOOSE(MATCH(B65,{"NOP","LDI","LDR","STR","MOV","ADDI","ADDR","SUBI","SUBR","JMP","JZ","JNZ","MUL","LOOP","AND","HLT","OR","XOR","DIV"},0),0,1,2,3,4,5,6,7,8,9,10,11,12,13,14,15,16,17,18)</f>
        <v>#N/A</v>
      </c>
      <c r="F65">
        <f t="shared" si="0"/>
        <v>0</v>
      </c>
      <c r="G65">
        <f t="shared" si="1"/>
        <v>0</v>
      </c>
      <c r="H65" t="e">
        <f t="shared" si="2"/>
        <v>#N/A</v>
      </c>
    </row>
    <row r="66" spans="1:8" x14ac:dyDescent="0.2">
      <c r="A66">
        <v>64</v>
      </c>
      <c r="E66" t="e">
        <f>CHOOSE(MATCH(B66,{"NOP","LDI","LDR","STR","MOV","ADDI","ADDR","SUBI","SUBR","JMP","JZ","JNZ","MUL","LOOP","AND","HLT","OR","XOR","DIV"},0),0,1,2,3,4,5,6,7,8,9,10,11,12,13,14,15,16,17,18)</f>
        <v>#N/A</v>
      </c>
      <c r="F66">
        <f t="shared" ref="F66:F129" si="3">IF(C66="AX",0,IF(C66="BX",1,IF(C66="CX",2,IF(C66="DX",3,VALUE(C66)))))</f>
        <v>0</v>
      </c>
      <c r="G66">
        <f t="shared" ref="G66:G129" si="4">IF(OR(D66="AX",D66="BX",D66="CX",D66="DX"),   IF(OR(E66=12,E66=14,E66=16,E66=17,E66=18),      IF(D66="AX",128+0,IF(D66="BX",128+1,IF(D66="CX",128+2,128+3))),      IF(D66="AX",0,IF(D66="BX",1,IF(D66="CX",2,3)))   ),   VALUE(D66))</f>
        <v>0</v>
      </c>
      <c r="H66" t="e">
        <f t="shared" ref="H66:H129" si="5">IF(E66=0,"NOP",IF(E66=1,"LDI "&amp;CHOOSE(F66+1,"AX","BX","CX","DX")&amp;","&amp;G66,IF(E66=2,"LDR "&amp;CHOOSE(F66+1,"AX","BX","CX","DX")&amp;",["&amp;G66&amp;"]",IF(E66=3,"STR ["&amp;F66&amp;"],AX",IF(E66=4,"MOV "&amp;CHOOSE(F66+1,"AX","BX","CX","DX")&amp;","&amp;CHOOSE(G66+1,"AX","BX","CX","DX"),IF(E66=5,"ADDI "&amp;CHOOSE(F66+1,"AX","BX","CX","DX")&amp;","&amp;G66,IF(E66=6,"ADDR "&amp;CHOOSE(F66+1,"AX","BX","CX","DX")&amp;","&amp;CHOOSE(G66+1,"AX","BX","CX","DX"),IF(E66=7,"SUBI "&amp;CHOOSE(F66+1,"AX","BX","CX","DX")&amp;","&amp;G66,IF(E66=8,"SUBR "&amp;CHOOSE(F66+1,"AX","BX","CX","DX")&amp;","&amp;CHOOSE(G66+1,"AX","BX","CX","DX"),IF(E66=9,"JMP "&amp;F66,IF(E66=10,"JZ "&amp;F66,IF(E66=11,"JNZ "&amp;F66,IF(E66=12,"MUL "&amp;CHOOSE(F66+1,"AX","BX","CX","DX")&amp;","&amp;IF(G66&gt;=128,CHOOSE(G66-128+1,"AX","BX","CX","DX"),G66),IF(E66=13,"LOOP "&amp;F66,IF(E66=14,"AND "&amp;CHOOSE(F66+1,"AX","BX","CX","DX")&amp;","&amp;IF(G66&gt;=128,CHOOSE(G66-128+1,"AX","BX","CX","DX"),G66),IF(E66=15,"HLT",IF(E66=16,"OR "&amp;CHOOSE(F66+1,"AX","BX","CX","DX")&amp;","&amp;IF(G66&gt;=128,CHOOSE(G66-128+1,"AX","BX","CX","DX"),G66),IF(E66=17,"XOR "&amp;CHOOSE(F66+1,"AX","BX","CX","DX")&amp;","&amp;IF(G66&gt;=128,CHOOSE(G66-128+1,"AX","BX","CX","DX"),G66),IF(E66=18,"DIV AX,"&amp;IF(G66&gt;=128,CHOOSE(G66-128+1,"AX","BX","CX","DX"),G66),"???")))))))))))))))))))</f>
        <v>#N/A</v>
      </c>
    </row>
    <row r="67" spans="1:8" x14ac:dyDescent="0.2">
      <c r="A67">
        <v>65</v>
      </c>
      <c r="E67" t="e">
        <f>CHOOSE(MATCH(B67,{"NOP","LDI","LDR","STR","MOV","ADDI","ADDR","SUBI","SUBR","JMP","JZ","JNZ","MUL","LOOP","AND","HLT","OR","XOR","DIV"},0),0,1,2,3,4,5,6,7,8,9,10,11,12,13,14,15,16,17,18)</f>
        <v>#N/A</v>
      </c>
      <c r="F67">
        <f t="shared" si="3"/>
        <v>0</v>
      </c>
      <c r="G67">
        <f t="shared" si="4"/>
        <v>0</v>
      </c>
      <c r="H67" t="e">
        <f t="shared" si="5"/>
        <v>#N/A</v>
      </c>
    </row>
    <row r="68" spans="1:8" x14ac:dyDescent="0.2">
      <c r="A68">
        <v>66</v>
      </c>
      <c r="E68" t="e">
        <f>CHOOSE(MATCH(B68,{"NOP","LDI","LDR","STR","MOV","ADDI","ADDR","SUBI","SUBR","JMP","JZ","JNZ","MUL","LOOP","AND","HLT","OR","XOR","DIV"},0),0,1,2,3,4,5,6,7,8,9,10,11,12,13,14,15,16,17,18)</f>
        <v>#N/A</v>
      </c>
      <c r="F68">
        <f t="shared" si="3"/>
        <v>0</v>
      </c>
      <c r="G68">
        <f t="shared" si="4"/>
        <v>0</v>
      </c>
      <c r="H68" t="e">
        <f t="shared" si="5"/>
        <v>#N/A</v>
      </c>
    </row>
    <row r="69" spans="1:8" x14ac:dyDescent="0.2">
      <c r="A69">
        <v>67</v>
      </c>
      <c r="E69" t="e">
        <f>CHOOSE(MATCH(B69,{"NOP","LDI","LDR","STR","MOV","ADDI","ADDR","SUBI","SUBR","JMP","JZ","JNZ","MUL","LOOP","AND","HLT","OR","XOR","DIV"},0),0,1,2,3,4,5,6,7,8,9,10,11,12,13,14,15,16,17,18)</f>
        <v>#N/A</v>
      </c>
      <c r="F69">
        <f t="shared" si="3"/>
        <v>0</v>
      </c>
      <c r="G69">
        <f t="shared" si="4"/>
        <v>0</v>
      </c>
      <c r="H69" t="e">
        <f t="shared" si="5"/>
        <v>#N/A</v>
      </c>
    </row>
    <row r="70" spans="1:8" x14ac:dyDescent="0.2">
      <c r="A70">
        <v>68</v>
      </c>
      <c r="E70" t="e">
        <f>CHOOSE(MATCH(B70,{"NOP","LDI","LDR","STR","MOV","ADDI","ADDR","SUBI","SUBR","JMP","JZ","JNZ","MUL","LOOP","AND","HLT","OR","XOR","DIV"},0),0,1,2,3,4,5,6,7,8,9,10,11,12,13,14,15,16,17,18)</f>
        <v>#N/A</v>
      </c>
      <c r="F70">
        <f t="shared" si="3"/>
        <v>0</v>
      </c>
      <c r="G70">
        <f t="shared" si="4"/>
        <v>0</v>
      </c>
      <c r="H70" t="e">
        <f t="shared" si="5"/>
        <v>#N/A</v>
      </c>
    </row>
    <row r="71" spans="1:8" x14ac:dyDescent="0.2">
      <c r="A71">
        <v>69</v>
      </c>
      <c r="E71" t="e">
        <f>CHOOSE(MATCH(B71,{"NOP","LDI","LDR","STR","MOV","ADDI","ADDR","SUBI","SUBR","JMP","JZ","JNZ","MUL","LOOP","AND","HLT","OR","XOR","DIV"},0),0,1,2,3,4,5,6,7,8,9,10,11,12,13,14,15,16,17,18)</f>
        <v>#N/A</v>
      </c>
      <c r="F71">
        <f t="shared" si="3"/>
        <v>0</v>
      </c>
      <c r="G71">
        <f t="shared" si="4"/>
        <v>0</v>
      </c>
      <c r="H71" t="e">
        <f t="shared" si="5"/>
        <v>#N/A</v>
      </c>
    </row>
    <row r="72" spans="1:8" x14ac:dyDescent="0.2">
      <c r="A72">
        <v>70</v>
      </c>
      <c r="E72" t="e">
        <f>CHOOSE(MATCH(B72,{"NOP","LDI","LDR","STR","MOV","ADDI","ADDR","SUBI","SUBR","JMP","JZ","JNZ","MUL","LOOP","AND","HLT","OR","XOR","DIV"},0),0,1,2,3,4,5,6,7,8,9,10,11,12,13,14,15,16,17,18)</f>
        <v>#N/A</v>
      </c>
      <c r="F72">
        <f t="shared" si="3"/>
        <v>0</v>
      </c>
      <c r="G72">
        <f t="shared" si="4"/>
        <v>0</v>
      </c>
      <c r="H72" t="e">
        <f t="shared" si="5"/>
        <v>#N/A</v>
      </c>
    </row>
    <row r="73" spans="1:8" x14ac:dyDescent="0.2">
      <c r="A73">
        <v>71</v>
      </c>
      <c r="E73" t="e">
        <f>CHOOSE(MATCH(B73,{"NOP","LDI","LDR","STR","MOV","ADDI","ADDR","SUBI","SUBR","JMP","JZ","JNZ","MUL","LOOP","AND","HLT","OR","XOR","DIV"},0),0,1,2,3,4,5,6,7,8,9,10,11,12,13,14,15,16,17,18)</f>
        <v>#N/A</v>
      </c>
      <c r="F73">
        <f t="shared" si="3"/>
        <v>0</v>
      </c>
      <c r="G73">
        <f t="shared" si="4"/>
        <v>0</v>
      </c>
      <c r="H73" t="e">
        <f t="shared" si="5"/>
        <v>#N/A</v>
      </c>
    </row>
    <row r="74" spans="1:8" x14ac:dyDescent="0.2">
      <c r="A74">
        <v>72</v>
      </c>
      <c r="E74" t="e">
        <f>CHOOSE(MATCH(B74,{"NOP","LDI","LDR","STR","MOV","ADDI","ADDR","SUBI","SUBR","JMP","JZ","JNZ","MUL","LOOP","AND","HLT","OR","XOR","DIV"},0),0,1,2,3,4,5,6,7,8,9,10,11,12,13,14,15,16,17,18)</f>
        <v>#N/A</v>
      </c>
      <c r="F74">
        <f t="shared" si="3"/>
        <v>0</v>
      </c>
      <c r="G74">
        <f t="shared" si="4"/>
        <v>0</v>
      </c>
      <c r="H74" t="e">
        <f t="shared" si="5"/>
        <v>#N/A</v>
      </c>
    </row>
    <row r="75" spans="1:8" x14ac:dyDescent="0.2">
      <c r="A75">
        <v>73</v>
      </c>
      <c r="E75" t="e">
        <f>CHOOSE(MATCH(B75,{"NOP","LDI","LDR","STR","MOV","ADDI","ADDR","SUBI","SUBR","JMP","JZ","JNZ","MUL","LOOP","AND","HLT","OR","XOR","DIV"},0),0,1,2,3,4,5,6,7,8,9,10,11,12,13,14,15,16,17,18)</f>
        <v>#N/A</v>
      </c>
      <c r="F75">
        <f t="shared" si="3"/>
        <v>0</v>
      </c>
      <c r="G75">
        <f t="shared" si="4"/>
        <v>0</v>
      </c>
      <c r="H75" t="e">
        <f t="shared" si="5"/>
        <v>#N/A</v>
      </c>
    </row>
    <row r="76" spans="1:8" x14ac:dyDescent="0.2">
      <c r="A76">
        <v>74</v>
      </c>
      <c r="E76" t="e">
        <f>CHOOSE(MATCH(B76,{"NOP","LDI","LDR","STR","MOV","ADDI","ADDR","SUBI","SUBR","JMP","JZ","JNZ","MUL","LOOP","AND","HLT","OR","XOR","DIV"},0),0,1,2,3,4,5,6,7,8,9,10,11,12,13,14,15,16,17,18)</f>
        <v>#N/A</v>
      </c>
      <c r="F76">
        <f t="shared" si="3"/>
        <v>0</v>
      </c>
      <c r="G76">
        <f t="shared" si="4"/>
        <v>0</v>
      </c>
      <c r="H76" t="e">
        <f t="shared" si="5"/>
        <v>#N/A</v>
      </c>
    </row>
    <row r="77" spans="1:8" x14ac:dyDescent="0.2">
      <c r="A77">
        <v>75</v>
      </c>
      <c r="E77" t="e">
        <f>CHOOSE(MATCH(B77,{"NOP","LDI","LDR","STR","MOV","ADDI","ADDR","SUBI","SUBR","JMP","JZ","JNZ","MUL","LOOP","AND","HLT","OR","XOR","DIV"},0),0,1,2,3,4,5,6,7,8,9,10,11,12,13,14,15,16,17,18)</f>
        <v>#N/A</v>
      </c>
      <c r="F77">
        <f t="shared" si="3"/>
        <v>0</v>
      </c>
      <c r="G77">
        <f t="shared" si="4"/>
        <v>0</v>
      </c>
      <c r="H77" t="e">
        <f t="shared" si="5"/>
        <v>#N/A</v>
      </c>
    </row>
    <row r="78" spans="1:8" x14ac:dyDescent="0.2">
      <c r="A78">
        <v>76</v>
      </c>
      <c r="E78" t="e">
        <f>CHOOSE(MATCH(B78,{"NOP","LDI","LDR","STR","MOV","ADDI","ADDR","SUBI","SUBR","JMP","JZ","JNZ","MUL","LOOP","AND","HLT","OR","XOR","DIV"},0),0,1,2,3,4,5,6,7,8,9,10,11,12,13,14,15,16,17,18)</f>
        <v>#N/A</v>
      </c>
      <c r="F78">
        <f t="shared" si="3"/>
        <v>0</v>
      </c>
      <c r="G78">
        <f t="shared" si="4"/>
        <v>0</v>
      </c>
      <c r="H78" t="e">
        <f t="shared" si="5"/>
        <v>#N/A</v>
      </c>
    </row>
    <row r="79" spans="1:8" x14ac:dyDescent="0.2">
      <c r="A79">
        <v>77</v>
      </c>
      <c r="E79" t="e">
        <f>CHOOSE(MATCH(B79,{"NOP","LDI","LDR","STR","MOV","ADDI","ADDR","SUBI","SUBR","JMP","JZ","JNZ","MUL","LOOP","AND","HLT","OR","XOR","DIV"},0),0,1,2,3,4,5,6,7,8,9,10,11,12,13,14,15,16,17,18)</f>
        <v>#N/A</v>
      </c>
      <c r="F79">
        <f t="shared" si="3"/>
        <v>0</v>
      </c>
      <c r="G79">
        <f t="shared" si="4"/>
        <v>0</v>
      </c>
      <c r="H79" t="e">
        <f t="shared" si="5"/>
        <v>#N/A</v>
      </c>
    </row>
    <row r="80" spans="1:8" x14ac:dyDescent="0.2">
      <c r="A80">
        <v>78</v>
      </c>
      <c r="E80" t="e">
        <f>CHOOSE(MATCH(B80,{"NOP","LDI","LDR","STR","MOV","ADDI","ADDR","SUBI","SUBR","JMP","JZ","JNZ","MUL","LOOP","AND","HLT","OR","XOR","DIV"},0),0,1,2,3,4,5,6,7,8,9,10,11,12,13,14,15,16,17,18)</f>
        <v>#N/A</v>
      </c>
      <c r="F80">
        <f t="shared" si="3"/>
        <v>0</v>
      </c>
      <c r="G80">
        <f t="shared" si="4"/>
        <v>0</v>
      </c>
      <c r="H80" t="e">
        <f t="shared" si="5"/>
        <v>#N/A</v>
      </c>
    </row>
    <row r="81" spans="1:8" x14ac:dyDescent="0.2">
      <c r="A81">
        <v>79</v>
      </c>
      <c r="E81" t="e">
        <f>CHOOSE(MATCH(B81,{"NOP","LDI","LDR","STR","MOV","ADDI","ADDR","SUBI","SUBR","JMP","JZ","JNZ","MUL","LOOP","AND","HLT","OR","XOR","DIV"},0),0,1,2,3,4,5,6,7,8,9,10,11,12,13,14,15,16,17,18)</f>
        <v>#N/A</v>
      </c>
      <c r="F81">
        <f t="shared" si="3"/>
        <v>0</v>
      </c>
      <c r="G81">
        <f t="shared" si="4"/>
        <v>0</v>
      </c>
      <c r="H81" t="e">
        <f t="shared" si="5"/>
        <v>#N/A</v>
      </c>
    </row>
    <row r="82" spans="1:8" x14ac:dyDescent="0.2">
      <c r="A82">
        <v>80</v>
      </c>
      <c r="E82" t="e">
        <f>CHOOSE(MATCH(B82,{"NOP","LDI","LDR","STR","MOV","ADDI","ADDR","SUBI","SUBR","JMP","JZ","JNZ","MUL","LOOP","AND","HLT","OR","XOR","DIV"},0),0,1,2,3,4,5,6,7,8,9,10,11,12,13,14,15,16,17,18)</f>
        <v>#N/A</v>
      </c>
      <c r="F82">
        <f t="shared" si="3"/>
        <v>0</v>
      </c>
      <c r="G82">
        <f t="shared" si="4"/>
        <v>0</v>
      </c>
      <c r="H82" t="e">
        <f t="shared" si="5"/>
        <v>#N/A</v>
      </c>
    </row>
    <row r="83" spans="1:8" x14ac:dyDescent="0.2">
      <c r="A83">
        <v>81</v>
      </c>
      <c r="E83" t="e">
        <f>CHOOSE(MATCH(B83,{"NOP","LDI","LDR","STR","MOV","ADDI","ADDR","SUBI","SUBR","JMP","JZ","JNZ","MUL","LOOP","AND","HLT","OR","XOR","DIV"},0),0,1,2,3,4,5,6,7,8,9,10,11,12,13,14,15,16,17,18)</f>
        <v>#N/A</v>
      </c>
      <c r="F83">
        <f t="shared" si="3"/>
        <v>0</v>
      </c>
      <c r="G83">
        <f t="shared" si="4"/>
        <v>0</v>
      </c>
      <c r="H83" t="e">
        <f t="shared" si="5"/>
        <v>#N/A</v>
      </c>
    </row>
    <row r="84" spans="1:8" x14ac:dyDescent="0.2">
      <c r="A84">
        <v>82</v>
      </c>
      <c r="E84" t="e">
        <f>CHOOSE(MATCH(B84,{"NOP","LDI","LDR","STR","MOV","ADDI","ADDR","SUBI","SUBR","JMP","JZ","JNZ","MUL","LOOP","AND","HLT","OR","XOR","DIV"},0),0,1,2,3,4,5,6,7,8,9,10,11,12,13,14,15,16,17,18)</f>
        <v>#N/A</v>
      </c>
      <c r="F84">
        <f t="shared" si="3"/>
        <v>0</v>
      </c>
      <c r="G84">
        <f t="shared" si="4"/>
        <v>0</v>
      </c>
      <c r="H84" t="e">
        <f t="shared" si="5"/>
        <v>#N/A</v>
      </c>
    </row>
    <row r="85" spans="1:8" x14ac:dyDescent="0.2">
      <c r="A85">
        <v>83</v>
      </c>
      <c r="E85" t="e">
        <f>CHOOSE(MATCH(B85,{"NOP","LDI","LDR","STR","MOV","ADDI","ADDR","SUBI","SUBR","JMP","JZ","JNZ","MUL","LOOP","AND","HLT","OR","XOR","DIV"},0),0,1,2,3,4,5,6,7,8,9,10,11,12,13,14,15,16,17,18)</f>
        <v>#N/A</v>
      </c>
      <c r="F85">
        <f t="shared" si="3"/>
        <v>0</v>
      </c>
      <c r="G85">
        <f t="shared" si="4"/>
        <v>0</v>
      </c>
      <c r="H85" t="e">
        <f t="shared" si="5"/>
        <v>#N/A</v>
      </c>
    </row>
    <row r="86" spans="1:8" x14ac:dyDescent="0.2">
      <c r="A86">
        <v>84</v>
      </c>
      <c r="E86" t="e">
        <f>CHOOSE(MATCH(B86,{"NOP","LDI","LDR","STR","MOV","ADDI","ADDR","SUBI","SUBR","JMP","JZ","JNZ","MUL","LOOP","AND","HLT","OR","XOR","DIV"},0),0,1,2,3,4,5,6,7,8,9,10,11,12,13,14,15,16,17,18)</f>
        <v>#N/A</v>
      </c>
      <c r="F86">
        <f t="shared" si="3"/>
        <v>0</v>
      </c>
      <c r="G86">
        <f t="shared" si="4"/>
        <v>0</v>
      </c>
      <c r="H86" t="e">
        <f t="shared" si="5"/>
        <v>#N/A</v>
      </c>
    </row>
    <row r="87" spans="1:8" x14ac:dyDescent="0.2">
      <c r="A87">
        <v>85</v>
      </c>
      <c r="E87" t="e">
        <f>CHOOSE(MATCH(B87,{"NOP","LDI","LDR","STR","MOV","ADDI","ADDR","SUBI","SUBR","JMP","JZ","JNZ","MUL","LOOP","AND","HLT","OR","XOR","DIV"},0),0,1,2,3,4,5,6,7,8,9,10,11,12,13,14,15,16,17,18)</f>
        <v>#N/A</v>
      </c>
      <c r="F87">
        <f t="shared" si="3"/>
        <v>0</v>
      </c>
      <c r="G87">
        <f t="shared" si="4"/>
        <v>0</v>
      </c>
      <c r="H87" t="e">
        <f t="shared" si="5"/>
        <v>#N/A</v>
      </c>
    </row>
    <row r="88" spans="1:8" x14ac:dyDescent="0.2">
      <c r="A88">
        <v>86</v>
      </c>
      <c r="E88" t="e">
        <f>CHOOSE(MATCH(B88,{"NOP","LDI","LDR","STR","MOV","ADDI","ADDR","SUBI","SUBR","JMP","JZ","JNZ","MUL","LOOP","AND","HLT","OR","XOR","DIV"},0),0,1,2,3,4,5,6,7,8,9,10,11,12,13,14,15,16,17,18)</f>
        <v>#N/A</v>
      </c>
      <c r="F88">
        <f t="shared" si="3"/>
        <v>0</v>
      </c>
      <c r="G88">
        <f t="shared" si="4"/>
        <v>0</v>
      </c>
      <c r="H88" t="e">
        <f t="shared" si="5"/>
        <v>#N/A</v>
      </c>
    </row>
    <row r="89" spans="1:8" x14ac:dyDescent="0.2">
      <c r="A89">
        <v>87</v>
      </c>
      <c r="E89" t="e">
        <f>CHOOSE(MATCH(B89,{"NOP","LDI","LDR","STR","MOV","ADDI","ADDR","SUBI","SUBR","JMP","JZ","JNZ","MUL","LOOP","AND","HLT","OR","XOR","DIV"},0),0,1,2,3,4,5,6,7,8,9,10,11,12,13,14,15,16,17,18)</f>
        <v>#N/A</v>
      </c>
      <c r="F89">
        <f t="shared" si="3"/>
        <v>0</v>
      </c>
      <c r="G89">
        <f t="shared" si="4"/>
        <v>0</v>
      </c>
      <c r="H89" t="e">
        <f t="shared" si="5"/>
        <v>#N/A</v>
      </c>
    </row>
    <row r="90" spans="1:8" x14ac:dyDescent="0.2">
      <c r="A90">
        <v>88</v>
      </c>
      <c r="E90" t="e">
        <f>CHOOSE(MATCH(B90,{"NOP","LDI","LDR","STR","MOV","ADDI","ADDR","SUBI","SUBR","JMP","JZ","JNZ","MUL","LOOP","AND","HLT","OR","XOR","DIV"},0),0,1,2,3,4,5,6,7,8,9,10,11,12,13,14,15,16,17,18)</f>
        <v>#N/A</v>
      </c>
      <c r="F90">
        <f t="shared" si="3"/>
        <v>0</v>
      </c>
      <c r="G90">
        <f t="shared" si="4"/>
        <v>0</v>
      </c>
      <c r="H90" t="e">
        <f t="shared" si="5"/>
        <v>#N/A</v>
      </c>
    </row>
    <row r="91" spans="1:8" x14ac:dyDescent="0.2">
      <c r="A91">
        <v>89</v>
      </c>
      <c r="E91" t="e">
        <f>CHOOSE(MATCH(B91,{"NOP","LDI","LDR","STR","MOV","ADDI","ADDR","SUBI","SUBR","JMP","JZ","JNZ","MUL","LOOP","AND","HLT","OR","XOR","DIV"},0),0,1,2,3,4,5,6,7,8,9,10,11,12,13,14,15,16,17,18)</f>
        <v>#N/A</v>
      </c>
      <c r="F91">
        <f t="shared" si="3"/>
        <v>0</v>
      </c>
      <c r="G91">
        <f t="shared" si="4"/>
        <v>0</v>
      </c>
      <c r="H91" t="e">
        <f t="shared" si="5"/>
        <v>#N/A</v>
      </c>
    </row>
    <row r="92" spans="1:8" x14ac:dyDescent="0.2">
      <c r="A92">
        <v>90</v>
      </c>
      <c r="E92" t="e">
        <f>CHOOSE(MATCH(B92,{"NOP","LDI","LDR","STR","MOV","ADDI","ADDR","SUBI","SUBR","JMP","JZ","JNZ","MUL","LOOP","AND","HLT","OR","XOR","DIV"},0),0,1,2,3,4,5,6,7,8,9,10,11,12,13,14,15,16,17,18)</f>
        <v>#N/A</v>
      </c>
      <c r="F92">
        <f t="shared" si="3"/>
        <v>0</v>
      </c>
      <c r="G92">
        <f t="shared" si="4"/>
        <v>0</v>
      </c>
      <c r="H92" t="e">
        <f t="shared" si="5"/>
        <v>#N/A</v>
      </c>
    </row>
    <row r="93" spans="1:8" x14ac:dyDescent="0.2">
      <c r="A93">
        <v>91</v>
      </c>
      <c r="E93" t="e">
        <f>CHOOSE(MATCH(B93,{"NOP","LDI","LDR","STR","MOV","ADDI","ADDR","SUBI","SUBR","JMP","JZ","JNZ","MUL","LOOP","AND","HLT","OR","XOR","DIV"},0),0,1,2,3,4,5,6,7,8,9,10,11,12,13,14,15,16,17,18)</f>
        <v>#N/A</v>
      </c>
      <c r="F93">
        <f t="shared" si="3"/>
        <v>0</v>
      </c>
      <c r="G93">
        <f t="shared" si="4"/>
        <v>0</v>
      </c>
      <c r="H93" t="e">
        <f t="shared" si="5"/>
        <v>#N/A</v>
      </c>
    </row>
    <row r="94" spans="1:8" x14ac:dyDescent="0.2">
      <c r="A94">
        <v>92</v>
      </c>
      <c r="E94" t="e">
        <f>CHOOSE(MATCH(B94,{"NOP","LDI","LDR","STR","MOV","ADDI","ADDR","SUBI","SUBR","JMP","JZ","JNZ","MUL","LOOP","AND","HLT","OR","XOR","DIV"},0),0,1,2,3,4,5,6,7,8,9,10,11,12,13,14,15,16,17,18)</f>
        <v>#N/A</v>
      </c>
      <c r="F94">
        <f t="shared" si="3"/>
        <v>0</v>
      </c>
      <c r="G94">
        <f t="shared" si="4"/>
        <v>0</v>
      </c>
      <c r="H94" t="e">
        <f t="shared" si="5"/>
        <v>#N/A</v>
      </c>
    </row>
    <row r="95" spans="1:8" x14ac:dyDescent="0.2">
      <c r="A95">
        <v>93</v>
      </c>
      <c r="E95" t="e">
        <f>CHOOSE(MATCH(B95,{"NOP","LDI","LDR","STR","MOV","ADDI","ADDR","SUBI","SUBR","JMP","JZ","JNZ","MUL","LOOP","AND","HLT","OR","XOR","DIV"},0),0,1,2,3,4,5,6,7,8,9,10,11,12,13,14,15,16,17,18)</f>
        <v>#N/A</v>
      </c>
      <c r="F95">
        <f t="shared" si="3"/>
        <v>0</v>
      </c>
      <c r="G95">
        <f t="shared" si="4"/>
        <v>0</v>
      </c>
      <c r="H95" t="e">
        <f t="shared" si="5"/>
        <v>#N/A</v>
      </c>
    </row>
    <row r="96" spans="1:8" x14ac:dyDescent="0.2">
      <c r="A96">
        <v>94</v>
      </c>
      <c r="E96" t="e">
        <f>CHOOSE(MATCH(B96,{"NOP","LDI","LDR","STR","MOV","ADDI","ADDR","SUBI","SUBR","JMP","JZ","JNZ","MUL","LOOP","AND","HLT","OR","XOR","DIV"},0),0,1,2,3,4,5,6,7,8,9,10,11,12,13,14,15,16,17,18)</f>
        <v>#N/A</v>
      </c>
      <c r="F96">
        <f t="shared" si="3"/>
        <v>0</v>
      </c>
      <c r="G96">
        <f t="shared" si="4"/>
        <v>0</v>
      </c>
      <c r="H96" t="e">
        <f t="shared" si="5"/>
        <v>#N/A</v>
      </c>
    </row>
    <row r="97" spans="1:8" x14ac:dyDescent="0.2">
      <c r="A97">
        <v>95</v>
      </c>
      <c r="E97" t="e">
        <f>CHOOSE(MATCH(B97,{"NOP","LDI","LDR","STR","MOV","ADDI","ADDR","SUBI","SUBR","JMP","JZ","JNZ","MUL","LOOP","AND","HLT","OR","XOR","DIV"},0),0,1,2,3,4,5,6,7,8,9,10,11,12,13,14,15,16,17,18)</f>
        <v>#N/A</v>
      </c>
      <c r="F97">
        <f t="shared" si="3"/>
        <v>0</v>
      </c>
      <c r="G97">
        <f t="shared" si="4"/>
        <v>0</v>
      </c>
      <c r="H97" t="e">
        <f t="shared" si="5"/>
        <v>#N/A</v>
      </c>
    </row>
    <row r="98" spans="1:8" x14ac:dyDescent="0.2">
      <c r="A98">
        <v>96</v>
      </c>
      <c r="E98" t="e">
        <f>CHOOSE(MATCH(B98,{"NOP","LDI","LDR","STR","MOV","ADDI","ADDR","SUBI","SUBR","JMP","JZ","JNZ","MUL","LOOP","AND","HLT","OR","XOR","DIV"},0),0,1,2,3,4,5,6,7,8,9,10,11,12,13,14,15,16,17,18)</f>
        <v>#N/A</v>
      </c>
      <c r="F98">
        <f t="shared" si="3"/>
        <v>0</v>
      </c>
      <c r="G98">
        <f t="shared" si="4"/>
        <v>0</v>
      </c>
      <c r="H98" t="e">
        <f t="shared" si="5"/>
        <v>#N/A</v>
      </c>
    </row>
    <row r="99" spans="1:8" x14ac:dyDescent="0.2">
      <c r="A99">
        <v>97</v>
      </c>
      <c r="E99" t="e">
        <f>CHOOSE(MATCH(B99,{"NOP","LDI","LDR","STR","MOV","ADDI","ADDR","SUBI","SUBR","JMP","JZ","JNZ","MUL","LOOP","AND","HLT","OR","XOR","DIV"},0),0,1,2,3,4,5,6,7,8,9,10,11,12,13,14,15,16,17,18)</f>
        <v>#N/A</v>
      </c>
      <c r="F99">
        <f t="shared" si="3"/>
        <v>0</v>
      </c>
      <c r="G99">
        <f t="shared" si="4"/>
        <v>0</v>
      </c>
      <c r="H99" t="e">
        <f t="shared" si="5"/>
        <v>#N/A</v>
      </c>
    </row>
    <row r="100" spans="1:8" x14ac:dyDescent="0.2">
      <c r="A100">
        <v>98</v>
      </c>
      <c r="E100" t="e">
        <f>CHOOSE(MATCH(B100,{"NOP","LDI","LDR","STR","MOV","ADDI","ADDR","SUBI","SUBR","JMP","JZ","JNZ","MUL","LOOP","AND","HLT","OR","XOR","DIV"},0),0,1,2,3,4,5,6,7,8,9,10,11,12,13,14,15,16,17,18)</f>
        <v>#N/A</v>
      </c>
      <c r="F100">
        <f t="shared" si="3"/>
        <v>0</v>
      </c>
      <c r="G100">
        <f t="shared" si="4"/>
        <v>0</v>
      </c>
      <c r="H100" t="e">
        <f t="shared" si="5"/>
        <v>#N/A</v>
      </c>
    </row>
    <row r="101" spans="1:8" x14ac:dyDescent="0.2">
      <c r="A101">
        <v>99</v>
      </c>
      <c r="E101" t="e">
        <f>CHOOSE(MATCH(B101,{"NOP","LDI","LDR","STR","MOV","ADDI","ADDR","SUBI","SUBR","JMP","JZ","JNZ","MUL","LOOP","AND","HLT","OR","XOR","DIV"},0),0,1,2,3,4,5,6,7,8,9,10,11,12,13,14,15,16,17,18)</f>
        <v>#N/A</v>
      </c>
      <c r="F101">
        <f t="shared" si="3"/>
        <v>0</v>
      </c>
      <c r="G101">
        <f t="shared" si="4"/>
        <v>0</v>
      </c>
      <c r="H101" t="e">
        <f t="shared" si="5"/>
        <v>#N/A</v>
      </c>
    </row>
    <row r="102" spans="1:8" x14ac:dyDescent="0.2">
      <c r="A102">
        <v>100</v>
      </c>
      <c r="E102" t="e">
        <f>CHOOSE(MATCH(B102,{"NOP","LDI","LDR","STR","MOV","ADDI","ADDR","SUBI","SUBR","JMP","JZ","JNZ","MUL","LOOP","AND","HLT","OR","XOR","DIV"},0),0,1,2,3,4,5,6,7,8,9,10,11,12,13,14,15,16,17,18)</f>
        <v>#N/A</v>
      </c>
      <c r="F102">
        <f t="shared" si="3"/>
        <v>0</v>
      </c>
      <c r="G102">
        <f t="shared" si="4"/>
        <v>0</v>
      </c>
      <c r="H102" t="e">
        <f t="shared" si="5"/>
        <v>#N/A</v>
      </c>
    </row>
    <row r="103" spans="1:8" x14ac:dyDescent="0.2">
      <c r="A103">
        <v>101</v>
      </c>
      <c r="E103" t="e">
        <f>CHOOSE(MATCH(B103,{"NOP","LDI","LDR","STR","MOV","ADDI","ADDR","SUBI","SUBR","JMP","JZ","JNZ","MUL","LOOP","AND","HLT","OR","XOR","DIV"},0),0,1,2,3,4,5,6,7,8,9,10,11,12,13,14,15,16,17,18)</f>
        <v>#N/A</v>
      </c>
      <c r="F103">
        <f t="shared" si="3"/>
        <v>0</v>
      </c>
      <c r="G103">
        <f t="shared" si="4"/>
        <v>0</v>
      </c>
      <c r="H103" t="e">
        <f t="shared" si="5"/>
        <v>#N/A</v>
      </c>
    </row>
    <row r="104" spans="1:8" x14ac:dyDescent="0.2">
      <c r="A104">
        <v>102</v>
      </c>
      <c r="E104" t="e">
        <f>CHOOSE(MATCH(B104,{"NOP","LDI","LDR","STR","MOV","ADDI","ADDR","SUBI","SUBR","JMP","JZ","JNZ","MUL","LOOP","AND","HLT","OR","XOR","DIV"},0),0,1,2,3,4,5,6,7,8,9,10,11,12,13,14,15,16,17,18)</f>
        <v>#N/A</v>
      </c>
      <c r="F104">
        <f t="shared" si="3"/>
        <v>0</v>
      </c>
      <c r="G104">
        <f t="shared" si="4"/>
        <v>0</v>
      </c>
      <c r="H104" t="e">
        <f t="shared" si="5"/>
        <v>#N/A</v>
      </c>
    </row>
    <row r="105" spans="1:8" x14ac:dyDescent="0.2">
      <c r="A105">
        <v>103</v>
      </c>
      <c r="E105" t="e">
        <f>CHOOSE(MATCH(B105,{"NOP","LDI","LDR","STR","MOV","ADDI","ADDR","SUBI","SUBR","JMP","JZ","JNZ","MUL","LOOP","AND","HLT","OR","XOR","DIV"},0),0,1,2,3,4,5,6,7,8,9,10,11,12,13,14,15,16,17,18)</f>
        <v>#N/A</v>
      </c>
      <c r="F105">
        <f t="shared" si="3"/>
        <v>0</v>
      </c>
      <c r="G105">
        <f t="shared" si="4"/>
        <v>0</v>
      </c>
      <c r="H105" t="e">
        <f t="shared" si="5"/>
        <v>#N/A</v>
      </c>
    </row>
    <row r="106" spans="1:8" x14ac:dyDescent="0.2">
      <c r="A106">
        <v>104</v>
      </c>
      <c r="E106" t="e">
        <f>CHOOSE(MATCH(B106,{"NOP","LDI","LDR","STR","MOV","ADDI","ADDR","SUBI","SUBR","JMP","JZ","JNZ","MUL","LOOP","AND","HLT","OR","XOR","DIV"},0),0,1,2,3,4,5,6,7,8,9,10,11,12,13,14,15,16,17,18)</f>
        <v>#N/A</v>
      </c>
      <c r="F106">
        <f t="shared" si="3"/>
        <v>0</v>
      </c>
      <c r="G106">
        <f t="shared" si="4"/>
        <v>0</v>
      </c>
      <c r="H106" t="e">
        <f t="shared" si="5"/>
        <v>#N/A</v>
      </c>
    </row>
    <row r="107" spans="1:8" x14ac:dyDescent="0.2">
      <c r="A107">
        <v>105</v>
      </c>
      <c r="E107" t="e">
        <f>CHOOSE(MATCH(B107,{"NOP","LDI","LDR","STR","MOV","ADDI","ADDR","SUBI","SUBR","JMP","JZ","JNZ","MUL","LOOP","AND","HLT","OR","XOR","DIV"},0),0,1,2,3,4,5,6,7,8,9,10,11,12,13,14,15,16,17,18)</f>
        <v>#N/A</v>
      </c>
      <c r="F107">
        <f t="shared" si="3"/>
        <v>0</v>
      </c>
      <c r="G107">
        <f t="shared" si="4"/>
        <v>0</v>
      </c>
      <c r="H107" t="e">
        <f t="shared" si="5"/>
        <v>#N/A</v>
      </c>
    </row>
    <row r="108" spans="1:8" x14ac:dyDescent="0.2">
      <c r="A108">
        <v>106</v>
      </c>
      <c r="E108" t="e">
        <f>CHOOSE(MATCH(B108,{"NOP","LDI","LDR","STR","MOV","ADDI","ADDR","SUBI","SUBR","JMP","JZ","JNZ","MUL","LOOP","AND","HLT","OR","XOR","DIV"},0),0,1,2,3,4,5,6,7,8,9,10,11,12,13,14,15,16,17,18)</f>
        <v>#N/A</v>
      </c>
      <c r="F108">
        <f t="shared" si="3"/>
        <v>0</v>
      </c>
      <c r="G108">
        <f t="shared" si="4"/>
        <v>0</v>
      </c>
      <c r="H108" t="e">
        <f t="shared" si="5"/>
        <v>#N/A</v>
      </c>
    </row>
    <row r="109" spans="1:8" x14ac:dyDescent="0.2">
      <c r="A109">
        <v>107</v>
      </c>
      <c r="E109" t="e">
        <f>CHOOSE(MATCH(B109,{"NOP","LDI","LDR","STR","MOV","ADDI","ADDR","SUBI","SUBR","JMP","JZ","JNZ","MUL","LOOP","AND","HLT","OR","XOR","DIV"},0),0,1,2,3,4,5,6,7,8,9,10,11,12,13,14,15,16,17,18)</f>
        <v>#N/A</v>
      </c>
      <c r="F109">
        <f t="shared" si="3"/>
        <v>0</v>
      </c>
      <c r="G109">
        <f t="shared" si="4"/>
        <v>0</v>
      </c>
      <c r="H109" t="e">
        <f t="shared" si="5"/>
        <v>#N/A</v>
      </c>
    </row>
    <row r="110" spans="1:8" x14ac:dyDescent="0.2">
      <c r="A110">
        <v>108</v>
      </c>
      <c r="E110" t="e">
        <f>CHOOSE(MATCH(B110,{"NOP","LDI","LDR","STR","MOV","ADDI","ADDR","SUBI","SUBR","JMP","JZ","JNZ","MUL","LOOP","AND","HLT","OR","XOR","DIV"},0),0,1,2,3,4,5,6,7,8,9,10,11,12,13,14,15,16,17,18)</f>
        <v>#N/A</v>
      </c>
      <c r="F110">
        <f t="shared" si="3"/>
        <v>0</v>
      </c>
      <c r="G110">
        <f t="shared" si="4"/>
        <v>0</v>
      </c>
      <c r="H110" t="e">
        <f t="shared" si="5"/>
        <v>#N/A</v>
      </c>
    </row>
    <row r="111" spans="1:8" x14ac:dyDescent="0.2">
      <c r="A111">
        <v>109</v>
      </c>
      <c r="E111" t="e">
        <f>CHOOSE(MATCH(B111,{"NOP","LDI","LDR","STR","MOV","ADDI","ADDR","SUBI","SUBR","JMP","JZ","JNZ","MUL","LOOP","AND","HLT","OR","XOR","DIV"},0),0,1,2,3,4,5,6,7,8,9,10,11,12,13,14,15,16,17,18)</f>
        <v>#N/A</v>
      </c>
      <c r="F111">
        <f t="shared" si="3"/>
        <v>0</v>
      </c>
      <c r="G111">
        <f t="shared" si="4"/>
        <v>0</v>
      </c>
      <c r="H111" t="e">
        <f t="shared" si="5"/>
        <v>#N/A</v>
      </c>
    </row>
    <row r="112" spans="1:8" x14ac:dyDescent="0.2">
      <c r="A112">
        <v>110</v>
      </c>
      <c r="E112" t="e">
        <f>CHOOSE(MATCH(B112,{"NOP","LDI","LDR","STR","MOV","ADDI","ADDR","SUBI","SUBR","JMP","JZ","JNZ","MUL","LOOP","AND","HLT","OR","XOR","DIV"},0),0,1,2,3,4,5,6,7,8,9,10,11,12,13,14,15,16,17,18)</f>
        <v>#N/A</v>
      </c>
      <c r="F112">
        <f t="shared" si="3"/>
        <v>0</v>
      </c>
      <c r="G112">
        <f t="shared" si="4"/>
        <v>0</v>
      </c>
      <c r="H112" t="e">
        <f t="shared" si="5"/>
        <v>#N/A</v>
      </c>
    </row>
    <row r="113" spans="1:8" x14ac:dyDescent="0.2">
      <c r="A113">
        <v>111</v>
      </c>
      <c r="E113" t="e">
        <f>CHOOSE(MATCH(B113,{"NOP","LDI","LDR","STR","MOV","ADDI","ADDR","SUBI","SUBR","JMP","JZ","JNZ","MUL","LOOP","AND","HLT","OR","XOR","DIV"},0),0,1,2,3,4,5,6,7,8,9,10,11,12,13,14,15,16,17,18)</f>
        <v>#N/A</v>
      </c>
      <c r="F113">
        <f t="shared" si="3"/>
        <v>0</v>
      </c>
      <c r="G113">
        <f t="shared" si="4"/>
        <v>0</v>
      </c>
      <c r="H113" t="e">
        <f t="shared" si="5"/>
        <v>#N/A</v>
      </c>
    </row>
    <row r="114" spans="1:8" x14ac:dyDescent="0.2">
      <c r="A114">
        <v>112</v>
      </c>
      <c r="E114" t="e">
        <f>CHOOSE(MATCH(B114,{"NOP","LDI","LDR","STR","MOV","ADDI","ADDR","SUBI","SUBR","JMP","JZ","JNZ","MUL","LOOP","AND","HLT","OR","XOR","DIV"},0),0,1,2,3,4,5,6,7,8,9,10,11,12,13,14,15,16,17,18)</f>
        <v>#N/A</v>
      </c>
      <c r="F114">
        <f t="shared" si="3"/>
        <v>0</v>
      </c>
      <c r="G114">
        <f t="shared" si="4"/>
        <v>0</v>
      </c>
      <c r="H114" t="e">
        <f t="shared" si="5"/>
        <v>#N/A</v>
      </c>
    </row>
    <row r="115" spans="1:8" x14ac:dyDescent="0.2">
      <c r="A115">
        <v>113</v>
      </c>
      <c r="E115" t="e">
        <f>CHOOSE(MATCH(B115,{"NOP","LDI","LDR","STR","MOV","ADDI","ADDR","SUBI","SUBR","JMP","JZ","JNZ","MUL","LOOP","AND","HLT","OR","XOR","DIV"},0),0,1,2,3,4,5,6,7,8,9,10,11,12,13,14,15,16,17,18)</f>
        <v>#N/A</v>
      </c>
      <c r="F115">
        <f t="shared" si="3"/>
        <v>0</v>
      </c>
      <c r="G115">
        <f t="shared" si="4"/>
        <v>0</v>
      </c>
      <c r="H115" t="e">
        <f t="shared" si="5"/>
        <v>#N/A</v>
      </c>
    </row>
    <row r="116" spans="1:8" x14ac:dyDescent="0.2">
      <c r="A116">
        <v>114</v>
      </c>
      <c r="E116" t="e">
        <f>CHOOSE(MATCH(B116,{"NOP","LDI","LDR","STR","MOV","ADDI","ADDR","SUBI","SUBR","JMP","JZ","JNZ","MUL","LOOP","AND","HLT","OR","XOR","DIV"},0),0,1,2,3,4,5,6,7,8,9,10,11,12,13,14,15,16,17,18)</f>
        <v>#N/A</v>
      </c>
      <c r="F116">
        <f t="shared" si="3"/>
        <v>0</v>
      </c>
      <c r="G116">
        <f t="shared" si="4"/>
        <v>0</v>
      </c>
      <c r="H116" t="e">
        <f t="shared" si="5"/>
        <v>#N/A</v>
      </c>
    </row>
    <row r="117" spans="1:8" x14ac:dyDescent="0.2">
      <c r="A117">
        <v>115</v>
      </c>
      <c r="E117" t="e">
        <f>CHOOSE(MATCH(B117,{"NOP","LDI","LDR","STR","MOV","ADDI","ADDR","SUBI","SUBR","JMP","JZ","JNZ","MUL","LOOP","AND","HLT","OR","XOR","DIV"},0),0,1,2,3,4,5,6,7,8,9,10,11,12,13,14,15,16,17,18)</f>
        <v>#N/A</v>
      </c>
      <c r="F117">
        <f t="shared" si="3"/>
        <v>0</v>
      </c>
      <c r="G117">
        <f t="shared" si="4"/>
        <v>0</v>
      </c>
      <c r="H117" t="e">
        <f t="shared" si="5"/>
        <v>#N/A</v>
      </c>
    </row>
    <row r="118" spans="1:8" x14ac:dyDescent="0.2">
      <c r="A118">
        <v>116</v>
      </c>
      <c r="E118" t="e">
        <f>CHOOSE(MATCH(B118,{"NOP","LDI","LDR","STR","MOV","ADDI","ADDR","SUBI","SUBR","JMP","JZ","JNZ","MUL","LOOP","AND","HLT","OR","XOR","DIV"},0),0,1,2,3,4,5,6,7,8,9,10,11,12,13,14,15,16,17,18)</f>
        <v>#N/A</v>
      </c>
      <c r="F118">
        <f t="shared" si="3"/>
        <v>0</v>
      </c>
      <c r="G118">
        <f t="shared" si="4"/>
        <v>0</v>
      </c>
      <c r="H118" t="e">
        <f t="shared" si="5"/>
        <v>#N/A</v>
      </c>
    </row>
    <row r="119" spans="1:8" x14ac:dyDescent="0.2">
      <c r="A119">
        <v>117</v>
      </c>
      <c r="E119" t="e">
        <f>CHOOSE(MATCH(B119,{"NOP","LDI","LDR","STR","MOV","ADDI","ADDR","SUBI","SUBR","JMP","JZ","JNZ","MUL","LOOP","AND","HLT","OR","XOR","DIV"},0),0,1,2,3,4,5,6,7,8,9,10,11,12,13,14,15,16,17,18)</f>
        <v>#N/A</v>
      </c>
      <c r="F119">
        <f t="shared" si="3"/>
        <v>0</v>
      </c>
      <c r="G119">
        <f t="shared" si="4"/>
        <v>0</v>
      </c>
      <c r="H119" t="e">
        <f t="shared" si="5"/>
        <v>#N/A</v>
      </c>
    </row>
    <row r="120" spans="1:8" x14ac:dyDescent="0.2">
      <c r="A120">
        <v>118</v>
      </c>
      <c r="E120" t="e">
        <f>CHOOSE(MATCH(B120,{"NOP","LDI","LDR","STR","MOV","ADDI","ADDR","SUBI","SUBR","JMP","JZ","JNZ","MUL","LOOP","AND","HLT","OR","XOR","DIV"},0),0,1,2,3,4,5,6,7,8,9,10,11,12,13,14,15,16,17,18)</f>
        <v>#N/A</v>
      </c>
      <c r="F120">
        <f t="shared" si="3"/>
        <v>0</v>
      </c>
      <c r="G120">
        <f t="shared" si="4"/>
        <v>0</v>
      </c>
      <c r="H120" t="e">
        <f t="shared" si="5"/>
        <v>#N/A</v>
      </c>
    </row>
    <row r="121" spans="1:8" x14ac:dyDescent="0.2">
      <c r="A121">
        <v>119</v>
      </c>
      <c r="E121" t="e">
        <f>CHOOSE(MATCH(B121,{"NOP","LDI","LDR","STR","MOV","ADDI","ADDR","SUBI","SUBR","JMP","JZ","JNZ","MUL","LOOP","AND","HLT","OR","XOR","DIV"},0),0,1,2,3,4,5,6,7,8,9,10,11,12,13,14,15,16,17,18)</f>
        <v>#N/A</v>
      </c>
      <c r="F121">
        <f t="shared" si="3"/>
        <v>0</v>
      </c>
      <c r="G121">
        <f t="shared" si="4"/>
        <v>0</v>
      </c>
      <c r="H121" t="e">
        <f t="shared" si="5"/>
        <v>#N/A</v>
      </c>
    </row>
    <row r="122" spans="1:8" x14ac:dyDescent="0.2">
      <c r="A122">
        <v>120</v>
      </c>
      <c r="E122" t="e">
        <f>CHOOSE(MATCH(B122,{"NOP","LDI","LDR","STR","MOV","ADDI","ADDR","SUBI","SUBR","JMP","JZ","JNZ","MUL","LOOP","AND","HLT","OR","XOR","DIV"},0),0,1,2,3,4,5,6,7,8,9,10,11,12,13,14,15,16,17,18)</f>
        <v>#N/A</v>
      </c>
      <c r="F122">
        <f t="shared" si="3"/>
        <v>0</v>
      </c>
      <c r="G122">
        <f t="shared" si="4"/>
        <v>0</v>
      </c>
      <c r="H122" t="e">
        <f t="shared" si="5"/>
        <v>#N/A</v>
      </c>
    </row>
    <row r="123" spans="1:8" x14ac:dyDescent="0.2">
      <c r="A123">
        <v>121</v>
      </c>
      <c r="E123" t="e">
        <f>CHOOSE(MATCH(B123,{"NOP","LDI","LDR","STR","MOV","ADDI","ADDR","SUBI","SUBR","JMP","JZ","JNZ","MUL","LOOP","AND","HLT","OR","XOR","DIV"},0),0,1,2,3,4,5,6,7,8,9,10,11,12,13,14,15,16,17,18)</f>
        <v>#N/A</v>
      </c>
      <c r="F123">
        <f t="shared" si="3"/>
        <v>0</v>
      </c>
      <c r="G123">
        <f t="shared" si="4"/>
        <v>0</v>
      </c>
      <c r="H123" t="e">
        <f t="shared" si="5"/>
        <v>#N/A</v>
      </c>
    </row>
    <row r="124" spans="1:8" x14ac:dyDescent="0.2">
      <c r="A124">
        <v>122</v>
      </c>
      <c r="E124" t="e">
        <f>CHOOSE(MATCH(B124,{"NOP","LDI","LDR","STR","MOV","ADDI","ADDR","SUBI","SUBR","JMP","JZ","JNZ","MUL","LOOP","AND","HLT","OR","XOR","DIV"},0),0,1,2,3,4,5,6,7,8,9,10,11,12,13,14,15,16,17,18)</f>
        <v>#N/A</v>
      </c>
      <c r="F124">
        <f t="shared" si="3"/>
        <v>0</v>
      </c>
      <c r="G124">
        <f t="shared" si="4"/>
        <v>0</v>
      </c>
      <c r="H124" t="e">
        <f t="shared" si="5"/>
        <v>#N/A</v>
      </c>
    </row>
    <row r="125" spans="1:8" x14ac:dyDescent="0.2">
      <c r="A125">
        <v>123</v>
      </c>
      <c r="E125" t="e">
        <f>CHOOSE(MATCH(B125,{"NOP","LDI","LDR","STR","MOV","ADDI","ADDR","SUBI","SUBR","JMP","JZ","JNZ","MUL","LOOP","AND","HLT","OR","XOR","DIV"},0),0,1,2,3,4,5,6,7,8,9,10,11,12,13,14,15,16,17,18)</f>
        <v>#N/A</v>
      </c>
      <c r="F125">
        <f t="shared" si="3"/>
        <v>0</v>
      </c>
      <c r="G125">
        <f t="shared" si="4"/>
        <v>0</v>
      </c>
      <c r="H125" t="e">
        <f t="shared" si="5"/>
        <v>#N/A</v>
      </c>
    </row>
    <row r="126" spans="1:8" x14ac:dyDescent="0.2">
      <c r="A126">
        <v>124</v>
      </c>
      <c r="E126" t="e">
        <f>CHOOSE(MATCH(B126,{"NOP","LDI","LDR","STR","MOV","ADDI","ADDR","SUBI","SUBR","JMP","JZ","JNZ","MUL","LOOP","AND","HLT","OR","XOR","DIV"},0),0,1,2,3,4,5,6,7,8,9,10,11,12,13,14,15,16,17,18)</f>
        <v>#N/A</v>
      </c>
      <c r="F126">
        <f t="shared" si="3"/>
        <v>0</v>
      </c>
      <c r="G126">
        <f t="shared" si="4"/>
        <v>0</v>
      </c>
      <c r="H126" t="e">
        <f t="shared" si="5"/>
        <v>#N/A</v>
      </c>
    </row>
    <row r="127" spans="1:8" x14ac:dyDescent="0.2">
      <c r="A127">
        <v>125</v>
      </c>
      <c r="E127" t="e">
        <f>CHOOSE(MATCH(B127,{"NOP","LDI","LDR","STR","MOV","ADDI","ADDR","SUBI","SUBR","JMP","JZ","JNZ","MUL","LOOP","AND","HLT","OR","XOR","DIV"},0),0,1,2,3,4,5,6,7,8,9,10,11,12,13,14,15,16,17,18)</f>
        <v>#N/A</v>
      </c>
      <c r="F127">
        <f t="shared" si="3"/>
        <v>0</v>
      </c>
      <c r="G127">
        <f t="shared" si="4"/>
        <v>0</v>
      </c>
      <c r="H127" t="e">
        <f t="shared" si="5"/>
        <v>#N/A</v>
      </c>
    </row>
    <row r="128" spans="1:8" x14ac:dyDescent="0.2">
      <c r="A128">
        <v>126</v>
      </c>
      <c r="E128" t="e">
        <f>CHOOSE(MATCH(B128,{"NOP","LDI","LDR","STR","MOV","ADDI","ADDR","SUBI","SUBR","JMP","JZ","JNZ","MUL","LOOP","AND","HLT","OR","XOR","DIV"},0),0,1,2,3,4,5,6,7,8,9,10,11,12,13,14,15,16,17,18)</f>
        <v>#N/A</v>
      </c>
      <c r="F128">
        <f t="shared" si="3"/>
        <v>0</v>
      </c>
      <c r="G128">
        <f t="shared" si="4"/>
        <v>0</v>
      </c>
      <c r="H128" t="e">
        <f t="shared" si="5"/>
        <v>#N/A</v>
      </c>
    </row>
    <row r="129" spans="1:8" x14ac:dyDescent="0.2">
      <c r="A129">
        <v>127</v>
      </c>
      <c r="E129" t="e">
        <f>CHOOSE(MATCH(B129,{"NOP","LDI","LDR","STR","MOV","ADDI","ADDR","SUBI","SUBR","JMP","JZ","JNZ","MUL","LOOP","AND","HLT","OR","XOR","DIV"},0),0,1,2,3,4,5,6,7,8,9,10,11,12,13,14,15,16,17,18)</f>
        <v>#N/A</v>
      </c>
      <c r="F129">
        <f t="shared" si="3"/>
        <v>0</v>
      </c>
      <c r="G129">
        <f t="shared" si="4"/>
        <v>0</v>
      </c>
      <c r="H129" t="e">
        <f t="shared" si="5"/>
        <v>#N/A</v>
      </c>
    </row>
    <row r="130" spans="1:8" x14ac:dyDescent="0.2">
      <c r="A130">
        <v>128</v>
      </c>
      <c r="E130" t="e">
        <f>CHOOSE(MATCH(B130,{"NOP","LDI","LDR","STR","MOV","ADDI","ADDR","SUBI","SUBR","JMP","JZ","JNZ","MUL","LOOP","AND","HLT","OR","XOR","DIV"},0),0,1,2,3,4,5,6,7,8,9,10,11,12,13,14,15,16,17,18)</f>
        <v>#N/A</v>
      </c>
      <c r="F130">
        <f t="shared" ref="F130:F193" si="6">IF(C130="AX",0,IF(C130="BX",1,IF(C130="CX",2,IF(C130="DX",3,VALUE(C130)))))</f>
        <v>0</v>
      </c>
      <c r="G130">
        <f t="shared" ref="G130:G193" si="7">IF(OR(D130="AX",D130="BX",D130="CX",D130="DX"),   IF(OR(E130=12,E130=14,E130=16,E130=17,E130=18),      IF(D130="AX",128+0,IF(D130="BX",128+1,IF(D130="CX",128+2,128+3))),      IF(D130="AX",0,IF(D130="BX",1,IF(D130="CX",2,3)))   ),   VALUE(D130))</f>
        <v>0</v>
      </c>
      <c r="H130" t="e">
        <f t="shared" ref="H130:H193" si="8">IF(E130=0,"NOP",IF(E130=1,"LDI "&amp;CHOOSE(F130+1,"AX","BX","CX","DX")&amp;","&amp;G130,IF(E130=2,"LDR "&amp;CHOOSE(F130+1,"AX","BX","CX","DX")&amp;",["&amp;G130&amp;"]",IF(E130=3,"STR ["&amp;F130&amp;"],AX",IF(E130=4,"MOV "&amp;CHOOSE(F130+1,"AX","BX","CX","DX")&amp;","&amp;CHOOSE(G130+1,"AX","BX","CX","DX"),IF(E130=5,"ADDI "&amp;CHOOSE(F130+1,"AX","BX","CX","DX")&amp;","&amp;G130,IF(E130=6,"ADDR "&amp;CHOOSE(F130+1,"AX","BX","CX","DX")&amp;","&amp;CHOOSE(G130+1,"AX","BX","CX","DX"),IF(E130=7,"SUBI "&amp;CHOOSE(F130+1,"AX","BX","CX","DX")&amp;","&amp;G130,IF(E130=8,"SUBR "&amp;CHOOSE(F130+1,"AX","BX","CX","DX")&amp;","&amp;CHOOSE(G130+1,"AX","BX","CX","DX"),IF(E130=9,"JMP "&amp;F130,IF(E130=10,"JZ "&amp;F130,IF(E130=11,"JNZ "&amp;F130,IF(E130=12,"MUL "&amp;CHOOSE(F130+1,"AX","BX","CX","DX")&amp;","&amp;IF(G130&gt;=128,CHOOSE(G130-128+1,"AX","BX","CX","DX"),G130),IF(E130=13,"LOOP "&amp;F130,IF(E130=14,"AND "&amp;CHOOSE(F130+1,"AX","BX","CX","DX")&amp;","&amp;IF(G130&gt;=128,CHOOSE(G130-128+1,"AX","BX","CX","DX"),G130),IF(E130=15,"HLT",IF(E130=16,"OR "&amp;CHOOSE(F130+1,"AX","BX","CX","DX")&amp;","&amp;IF(G130&gt;=128,CHOOSE(G130-128+1,"AX","BX","CX","DX"),G130),IF(E130=17,"XOR "&amp;CHOOSE(F130+1,"AX","BX","CX","DX")&amp;","&amp;IF(G130&gt;=128,CHOOSE(G130-128+1,"AX","BX","CX","DX"),G130),IF(E130=18,"DIV AX,"&amp;IF(G130&gt;=128,CHOOSE(G130-128+1,"AX","BX","CX","DX"),G130),"???")))))))))))))))))))</f>
        <v>#N/A</v>
      </c>
    </row>
    <row r="131" spans="1:8" x14ac:dyDescent="0.2">
      <c r="A131">
        <v>129</v>
      </c>
      <c r="E131" t="e">
        <f>CHOOSE(MATCH(B131,{"NOP","LDI","LDR","STR","MOV","ADDI","ADDR","SUBI","SUBR","JMP","JZ","JNZ","MUL","LOOP","AND","HLT","OR","XOR","DIV"},0),0,1,2,3,4,5,6,7,8,9,10,11,12,13,14,15,16,17,18)</f>
        <v>#N/A</v>
      </c>
      <c r="F131">
        <f t="shared" si="6"/>
        <v>0</v>
      </c>
      <c r="G131">
        <f t="shared" si="7"/>
        <v>0</v>
      </c>
      <c r="H131" t="e">
        <f t="shared" si="8"/>
        <v>#N/A</v>
      </c>
    </row>
    <row r="132" spans="1:8" x14ac:dyDescent="0.2">
      <c r="A132">
        <v>130</v>
      </c>
      <c r="E132" t="e">
        <f>CHOOSE(MATCH(B132,{"NOP","LDI","LDR","STR","MOV","ADDI","ADDR","SUBI","SUBR","JMP","JZ","JNZ","MUL","LOOP","AND","HLT","OR","XOR","DIV"},0),0,1,2,3,4,5,6,7,8,9,10,11,12,13,14,15,16,17,18)</f>
        <v>#N/A</v>
      </c>
      <c r="F132">
        <f t="shared" si="6"/>
        <v>0</v>
      </c>
      <c r="G132">
        <f t="shared" si="7"/>
        <v>0</v>
      </c>
      <c r="H132" t="e">
        <f t="shared" si="8"/>
        <v>#N/A</v>
      </c>
    </row>
    <row r="133" spans="1:8" x14ac:dyDescent="0.2">
      <c r="A133">
        <v>131</v>
      </c>
      <c r="E133" t="e">
        <f>CHOOSE(MATCH(B133,{"NOP","LDI","LDR","STR","MOV","ADDI","ADDR","SUBI","SUBR","JMP","JZ","JNZ","MUL","LOOP","AND","HLT","OR","XOR","DIV"},0),0,1,2,3,4,5,6,7,8,9,10,11,12,13,14,15,16,17,18)</f>
        <v>#N/A</v>
      </c>
      <c r="F133">
        <f t="shared" si="6"/>
        <v>0</v>
      </c>
      <c r="G133">
        <f t="shared" si="7"/>
        <v>0</v>
      </c>
      <c r="H133" t="e">
        <f t="shared" si="8"/>
        <v>#N/A</v>
      </c>
    </row>
    <row r="134" spans="1:8" x14ac:dyDescent="0.2">
      <c r="A134">
        <v>132</v>
      </c>
      <c r="E134" t="e">
        <f>CHOOSE(MATCH(B134,{"NOP","LDI","LDR","STR","MOV","ADDI","ADDR","SUBI","SUBR","JMP","JZ","JNZ","MUL","LOOP","AND","HLT","OR","XOR","DIV"},0),0,1,2,3,4,5,6,7,8,9,10,11,12,13,14,15,16,17,18)</f>
        <v>#N/A</v>
      </c>
      <c r="F134">
        <f t="shared" si="6"/>
        <v>0</v>
      </c>
      <c r="G134">
        <f t="shared" si="7"/>
        <v>0</v>
      </c>
      <c r="H134" t="e">
        <f t="shared" si="8"/>
        <v>#N/A</v>
      </c>
    </row>
    <row r="135" spans="1:8" x14ac:dyDescent="0.2">
      <c r="A135">
        <v>133</v>
      </c>
      <c r="E135" t="e">
        <f>CHOOSE(MATCH(B135,{"NOP","LDI","LDR","STR","MOV","ADDI","ADDR","SUBI","SUBR","JMP","JZ","JNZ","MUL","LOOP","AND","HLT","OR","XOR","DIV"},0),0,1,2,3,4,5,6,7,8,9,10,11,12,13,14,15,16,17,18)</f>
        <v>#N/A</v>
      </c>
      <c r="F135">
        <f t="shared" si="6"/>
        <v>0</v>
      </c>
      <c r="G135">
        <f t="shared" si="7"/>
        <v>0</v>
      </c>
      <c r="H135" t="e">
        <f t="shared" si="8"/>
        <v>#N/A</v>
      </c>
    </row>
    <row r="136" spans="1:8" x14ac:dyDescent="0.2">
      <c r="A136">
        <v>134</v>
      </c>
      <c r="E136" t="e">
        <f>CHOOSE(MATCH(B136,{"NOP","LDI","LDR","STR","MOV","ADDI","ADDR","SUBI","SUBR","JMP","JZ","JNZ","MUL","LOOP","AND","HLT","OR","XOR","DIV"},0),0,1,2,3,4,5,6,7,8,9,10,11,12,13,14,15,16,17,18)</f>
        <v>#N/A</v>
      </c>
      <c r="F136">
        <f t="shared" si="6"/>
        <v>0</v>
      </c>
      <c r="G136">
        <f t="shared" si="7"/>
        <v>0</v>
      </c>
      <c r="H136" t="e">
        <f t="shared" si="8"/>
        <v>#N/A</v>
      </c>
    </row>
    <row r="137" spans="1:8" x14ac:dyDescent="0.2">
      <c r="A137">
        <v>135</v>
      </c>
      <c r="E137" t="e">
        <f>CHOOSE(MATCH(B137,{"NOP","LDI","LDR","STR","MOV","ADDI","ADDR","SUBI","SUBR","JMP","JZ","JNZ","MUL","LOOP","AND","HLT","OR","XOR","DIV"},0),0,1,2,3,4,5,6,7,8,9,10,11,12,13,14,15,16,17,18)</f>
        <v>#N/A</v>
      </c>
      <c r="F137">
        <f t="shared" si="6"/>
        <v>0</v>
      </c>
      <c r="G137">
        <f t="shared" si="7"/>
        <v>0</v>
      </c>
      <c r="H137" t="e">
        <f t="shared" si="8"/>
        <v>#N/A</v>
      </c>
    </row>
    <row r="138" spans="1:8" x14ac:dyDescent="0.2">
      <c r="A138">
        <v>136</v>
      </c>
      <c r="E138" t="e">
        <f>CHOOSE(MATCH(B138,{"NOP","LDI","LDR","STR","MOV","ADDI","ADDR","SUBI","SUBR","JMP","JZ","JNZ","MUL","LOOP","AND","HLT","OR","XOR","DIV"},0),0,1,2,3,4,5,6,7,8,9,10,11,12,13,14,15,16,17,18)</f>
        <v>#N/A</v>
      </c>
      <c r="F138">
        <f t="shared" si="6"/>
        <v>0</v>
      </c>
      <c r="G138">
        <f t="shared" si="7"/>
        <v>0</v>
      </c>
      <c r="H138" t="e">
        <f t="shared" si="8"/>
        <v>#N/A</v>
      </c>
    </row>
    <row r="139" spans="1:8" x14ac:dyDescent="0.2">
      <c r="A139">
        <v>137</v>
      </c>
      <c r="E139" t="e">
        <f>CHOOSE(MATCH(B139,{"NOP","LDI","LDR","STR","MOV","ADDI","ADDR","SUBI","SUBR","JMP","JZ","JNZ","MUL","LOOP","AND","HLT","OR","XOR","DIV"},0),0,1,2,3,4,5,6,7,8,9,10,11,12,13,14,15,16,17,18)</f>
        <v>#N/A</v>
      </c>
      <c r="F139">
        <f t="shared" si="6"/>
        <v>0</v>
      </c>
      <c r="G139">
        <f t="shared" si="7"/>
        <v>0</v>
      </c>
      <c r="H139" t="e">
        <f t="shared" si="8"/>
        <v>#N/A</v>
      </c>
    </row>
    <row r="140" spans="1:8" x14ac:dyDescent="0.2">
      <c r="A140">
        <v>138</v>
      </c>
      <c r="E140" t="e">
        <f>CHOOSE(MATCH(B140,{"NOP","LDI","LDR","STR","MOV","ADDI","ADDR","SUBI","SUBR","JMP","JZ","JNZ","MUL","LOOP","AND","HLT","OR","XOR","DIV"},0),0,1,2,3,4,5,6,7,8,9,10,11,12,13,14,15,16,17,18)</f>
        <v>#N/A</v>
      </c>
      <c r="F140">
        <f t="shared" si="6"/>
        <v>0</v>
      </c>
      <c r="G140">
        <f t="shared" si="7"/>
        <v>0</v>
      </c>
      <c r="H140" t="e">
        <f t="shared" si="8"/>
        <v>#N/A</v>
      </c>
    </row>
    <row r="141" spans="1:8" x14ac:dyDescent="0.2">
      <c r="A141">
        <v>139</v>
      </c>
      <c r="E141" t="e">
        <f>CHOOSE(MATCH(B141,{"NOP","LDI","LDR","STR","MOV","ADDI","ADDR","SUBI","SUBR","JMP","JZ","JNZ","MUL","LOOP","AND","HLT","OR","XOR","DIV"},0),0,1,2,3,4,5,6,7,8,9,10,11,12,13,14,15,16,17,18)</f>
        <v>#N/A</v>
      </c>
      <c r="F141">
        <f t="shared" si="6"/>
        <v>0</v>
      </c>
      <c r="G141">
        <f t="shared" si="7"/>
        <v>0</v>
      </c>
      <c r="H141" t="e">
        <f t="shared" si="8"/>
        <v>#N/A</v>
      </c>
    </row>
    <row r="142" spans="1:8" x14ac:dyDescent="0.2">
      <c r="A142">
        <v>140</v>
      </c>
      <c r="E142" t="e">
        <f>CHOOSE(MATCH(B142,{"NOP","LDI","LDR","STR","MOV","ADDI","ADDR","SUBI","SUBR","JMP","JZ","JNZ","MUL","LOOP","AND","HLT","OR","XOR","DIV"},0),0,1,2,3,4,5,6,7,8,9,10,11,12,13,14,15,16,17,18)</f>
        <v>#N/A</v>
      </c>
      <c r="F142">
        <f t="shared" si="6"/>
        <v>0</v>
      </c>
      <c r="G142">
        <f t="shared" si="7"/>
        <v>0</v>
      </c>
      <c r="H142" t="e">
        <f t="shared" si="8"/>
        <v>#N/A</v>
      </c>
    </row>
    <row r="143" spans="1:8" x14ac:dyDescent="0.2">
      <c r="A143">
        <v>141</v>
      </c>
      <c r="E143" t="e">
        <f>CHOOSE(MATCH(B143,{"NOP","LDI","LDR","STR","MOV","ADDI","ADDR","SUBI","SUBR","JMP","JZ","JNZ","MUL","LOOP","AND","HLT","OR","XOR","DIV"},0),0,1,2,3,4,5,6,7,8,9,10,11,12,13,14,15,16,17,18)</f>
        <v>#N/A</v>
      </c>
      <c r="F143">
        <f t="shared" si="6"/>
        <v>0</v>
      </c>
      <c r="G143">
        <f t="shared" si="7"/>
        <v>0</v>
      </c>
      <c r="H143" t="e">
        <f t="shared" si="8"/>
        <v>#N/A</v>
      </c>
    </row>
    <row r="144" spans="1:8" x14ac:dyDescent="0.2">
      <c r="A144">
        <v>142</v>
      </c>
      <c r="E144" t="e">
        <f>CHOOSE(MATCH(B144,{"NOP","LDI","LDR","STR","MOV","ADDI","ADDR","SUBI","SUBR","JMP","JZ","JNZ","MUL","LOOP","AND","HLT","OR","XOR","DIV"},0),0,1,2,3,4,5,6,7,8,9,10,11,12,13,14,15,16,17,18)</f>
        <v>#N/A</v>
      </c>
      <c r="F144">
        <f t="shared" si="6"/>
        <v>0</v>
      </c>
      <c r="G144">
        <f t="shared" si="7"/>
        <v>0</v>
      </c>
      <c r="H144" t="e">
        <f t="shared" si="8"/>
        <v>#N/A</v>
      </c>
    </row>
    <row r="145" spans="1:8" x14ac:dyDescent="0.2">
      <c r="A145">
        <v>143</v>
      </c>
      <c r="E145" t="e">
        <f>CHOOSE(MATCH(B145,{"NOP","LDI","LDR","STR","MOV","ADDI","ADDR","SUBI","SUBR","JMP","JZ","JNZ","MUL","LOOP","AND","HLT","OR","XOR","DIV"},0),0,1,2,3,4,5,6,7,8,9,10,11,12,13,14,15,16,17,18)</f>
        <v>#N/A</v>
      </c>
      <c r="F145">
        <f t="shared" si="6"/>
        <v>0</v>
      </c>
      <c r="G145">
        <f t="shared" si="7"/>
        <v>0</v>
      </c>
      <c r="H145" t="e">
        <f t="shared" si="8"/>
        <v>#N/A</v>
      </c>
    </row>
    <row r="146" spans="1:8" x14ac:dyDescent="0.2">
      <c r="A146">
        <v>144</v>
      </c>
      <c r="E146" t="e">
        <f>CHOOSE(MATCH(B146,{"NOP","LDI","LDR","STR","MOV","ADDI","ADDR","SUBI","SUBR","JMP","JZ","JNZ","MUL","LOOP","AND","HLT","OR","XOR","DIV"},0),0,1,2,3,4,5,6,7,8,9,10,11,12,13,14,15,16,17,18)</f>
        <v>#N/A</v>
      </c>
      <c r="F146">
        <f t="shared" si="6"/>
        <v>0</v>
      </c>
      <c r="G146">
        <f t="shared" si="7"/>
        <v>0</v>
      </c>
      <c r="H146" t="e">
        <f t="shared" si="8"/>
        <v>#N/A</v>
      </c>
    </row>
    <row r="147" spans="1:8" x14ac:dyDescent="0.2">
      <c r="A147">
        <v>145</v>
      </c>
      <c r="E147" t="e">
        <f>CHOOSE(MATCH(B147,{"NOP","LDI","LDR","STR","MOV","ADDI","ADDR","SUBI","SUBR","JMP","JZ","JNZ","MUL","LOOP","AND","HLT","OR","XOR","DIV"},0),0,1,2,3,4,5,6,7,8,9,10,11,12,13,14,15,16,17,18)</f>
        <v>#N/A</v>
      </c>
      <c r="F147">
        <f t="shared" si="6"/>
        <v>0</v>
      </c>
      <c r="G147">
        <f t="shared" si="7"/>
        <v>0</v>
      </c>
      <c r="H147" t="e">
        <f t="shared" si="8"/>
        <v>#N/A</v>
      </c>
    </row>
    <row r="148" spans="1:8" x14ac:dyDescent="0.2">
      <c r="A148">
        <v>146</v>
      </c>
      <c r="E148" t="e">
        <f>CHOOSE(MATCH(B148,{"NOP","LDI","LDR","STR","MOV","ADDI","ADDR","SUBI","SUBR","JMP","JZ","JNZ","MUL","LOOP","AND","HLT","OR","XOR","DIV"},0),0,1,2,3,4,5,6,7,8,9,10,11,12,13,14,15,16,17,18)</f>
        <v>#N/A</v>
      </c>
      <c r="F148">
        <f t="shared" si="6"/>
        <v>0</v>
      </c>
      <c r="G148">
        <f t="shared" si="7"/>
        <v>0</v>
      </c>
      <c r="H148" t="e">
        <f t="shared" si="8"/>
        <v>#N/A</v>
      </c>
    </row>
    <row r="149" spans="1:8" x14ac:dyDescent="0.2">
      <c r="A149">
        <v>147</v>
      </c>
      <c r="E149" t="e">
        <f>CHOOSE(MATCH(B149,{"NOP","LDI","LDR","STR","MOV","ADDI","ADDR","SUBI","SUBR","JMP","JZ","JNZ","MUL","LOOP","AND","HLT","OR","XOR","DIV"},0),0,1,2,3,4,5,6,7,8,9,10,11,12,13,14,15,16,17,18)</f>
        <v>#N/A</v>
      </c>
      <c r="F149">
        <f t="shared" si="6"/>
        <v>0</v>
      </c>
      <c r="G149">
        <f t="shared" si="7"/>
        <v>0</v>
      </c>
      <c r="H149" t="e">
        <f t="shared" si="8"/>
        <v>#N/A</v>
      </c>
    </row>
    <row r="150" spans="1:8" x14ac:dyDescent="0.2">
      <c r="A150">
        <v>148</v>
      </c>
      <c r="E150" t="e">
        <f>CHOOSE(MATCH(B150,{"NOP","LDI","LDR","STR","MOV","ADDI","ADDR","SUBI","SUBR","JMP","JZ","JNZ","MUL","LOOP","AND","HLT","OR","XOR","DIV"},0),0,1,2,3,4,5,6,7,8,9,10,11,12,13,14,15,16,17,18)</f>
        <v>#N/A</v>
      </c>
      <c r="F150">
        <f t="shared" si="6"/>
        <v>0</v>
      </c>
      <c r="G150">
        <f t="shared" si="7"/>
        <v>0</v>
      </c>
      <c r="H150" t="e">
        <f t="shared" si="8"/>
        <v>#N/A</v>
      </c>
    </row>
    <row r="151" spans="1:8" x14ac:dyDescent="0.2">
      <c r="A151">
        <v>149</v>
      </c>
      <c r="E151" t="e">
        <f>CHOOSE(MATCH(B151,{"NOP","LDI","LDR","STR","MOV","ADDI","ADDR","SUBI","SUBR","JMP","JZ","JNZ","MUL","LOOP","AND","HLT","OR","XOR","DIV"},0),0,1,2,3,4,5,6,7,8,9,10,11,12,13,14,15,16,17,18)</f>
        <v>#N/A</v>
      </c>
      <c r="F151">
        <f t="shared" si="6"/>
        <v>0</v>
      </c>
      <c r="G151">
        <f t="shared" si="7"/>
        <v>0</v>
      </c>
      <c r="H151" t="e">
        <f t="shared" si="8"/>
        <v>#N/A</v>
      </c>
    </row>
    <row r="152" spans="1:8" x14ac:dyDescent="0.2">
      <c r="A152">
        <v>150</v>
      </c>
      <c r="E152" t="e">
        <f>CHOOSE(MATCH(B152,{"NOP","LDI","LDR","STR","MOV","ADDI","ADDR","SUBI","SUBR","JMP","JZ","JNZ","MUL","LOOP","AND","HLT","OR","XOR","DIV"},0),0,1,2,3,4,5,6,7,8,9,10,11,12,13,14,15,16,17,18)</f>
        <v>#N/A</v>
      </c>
      <c r="F152">
        <f t="shared" si="6"/>
        <v>0</v>
      </c>
      <c r="G152">
        <f t="shared" si="7"/>
        <v>0</v>
      </c>
      <c r="H152" t="e">
        <f t="shared" si="8"/>
        <v>#N/A</v>
      </c>
    </row>
    <row r="153" spans="1:8" x14ac:dyDescent="0.2">
      <c r="A153">
        <v>151</v>
      </c>
      <c r="E153" t="e">
        <f>CHOOSE(MATCH(B153,{"NOP","LDI","LDR","STR","MOV","ADDI","ADDR","SUBI","SUBR","JMP","JZ","JNZ","MUL","LOOP","AND","HLT","OR","XOR","DIV"},0),0,1,2,3,4,5,6,7,8,9,10,11,12,13,14,15,16,17,18)</f>
        <v>#N/A</v>
      </c>
      <c r="F153">
        <f t="shared" si="6"/>
        <v>0</v>
      </c>
      <c r="G153">
        <f t="shared" si="7"/>
        <v>0</v>
      </c>
      <c r="H153" t="e">
        <f t="shared" si="8"/>
        <v>#N/A</v>
      </c>
    </row>
    <row r="154" spans="1:8" x14ac:dyDescent="0.2">
      <c r="A154">
        <v>152</v>
      </c>
      <c r="E154" t="e">
        <f>CHOOSE(MATCH(B154,{"NOP","LDI","LDR","STR","MOV","ADDI","ADDR","SUBI","SUBR","JMP","JZ","JNZ","MUL","LOOP","AND","HLT","OR","XOR","DIV"},0),0,1,2,3,4,5,6,7,8,9,10,11,12,13,14,15,16,17,18)</f>
        <v>#N/A</v>
      </c>
      <c r="F154">
        <f t="shared" si="6"/>
        <v>0</v>
      </c>
      <c r="G154">
        <f t="shared" si="7"/>
        <v>0</v>
      </c>
      <c r="H154" t="e">
        <f t="shared" si="8"/>
        <v>#N/A</v>
      </c>
    </row>
    <row r="155" spans="1:8" x14ac:dyDescent="0.2">
      <c r="A155">
        <v>153</v>
      </c>
      <c r="E155" t="e">
        <f>CHOOSE(MATCH(B155,{"NOP","LDI","LDR","STR","MOV","ADDI","ADDR","SUBI","SUBR","JMP","JZ","JNZ","MUL","LOOP","AND","HLT","OR","XOR","DIV"},0),0,1,2,3,4,5,6,7,8,9,10,11,12,13,14,15,16,17,18)</f>
        <v>#N/A</v>
      </c>
      <c r="F155">
        <f t="shared" si="6"/>
        <v>0</v>
      </c>
      <c r="G155">
        <f t="shared" si="7"/>
        <v>0</v>
      </c>
      <c r="H155" t="e">
        <f t="shared" si="8"/>
        <v>#N/A</v>
      </c>
    </row>
    <row r="156" spans="1:8" x14ac:dyDescent="0.2">
      <c r="A156">
        <v>154</v>
      </c>
      <c r="E156" t="e">
        <f>CHOOSE(MATCH(B156,{"NOP","LDI","LDR","STR","MOV","ADDI","ADDR","SUBI","SUBR","JMP","JZ","JNZ","MUL","LOOP","AND","HLT","OR","XOR","DIV"},0),0,1,2,3,4,5,6,7,8,9,10,11,12,13,14,15,16,17,18)</f>
        <v>#N/A</v>
      </c>
      <c r="F156">
        <f t="shared" si="6"/>
        <v>0</v>
      </c>
      <c r="G156">
        <f t="shared" si="7"/>
        <v>0</v>
      </c>
      <c r="H156" t="e">
        <f t="shared" si="8"/>
        <v>#N/A</v>
      </c>
    </row>
    <row r="157" spans="1:8" x14ac:dyDescent="0.2">
      <c r="A157">
        <v>155</v>
      </c>
      <c r="E157" t="e">
        <f>CHOOSE(MATCH(B157,{"NOP","LDI","LDR","STR","MOV","ADDI","ADDR","SUBI","SUBR","JMP","JZ","JNZ","MUL","LOOP","AND","HLT","OR","XOR","DIV"},0),0,1,2,3,4,5,6,7,8,9,10,11,12,13,14,15,16,17,18)</f>
        <v>#N/A</v>
      </c>
      <c r="F157">
        <f t="shared" si="6"/>
        <v>0</v>
      </c>
      <c r="G157">
        <f t="shared" si="7"/>
        <v>0</v>
      </c>
      <c r="H157" t="e">
        <f t="shared" si="8"/>
        <v>#N/A</v>
      </c>
    </row>
    <row r="158" spans="1:8" x14ac:dyDescent="0.2">
      <c r="A158">
        <v>156</v>
      </c>
      <c r="E158" t="e">
        <f>CHOOSE(MATCH(B158,{"NOP","LDI","LDR","STR","MOV","ADDI","ADDR","SUBI","SUBR","JMP","JZ","JNZ","MUL","LOOP","AND","HLT","OR","XOR","DIV"},0),0,1,2,3,4,5,6,7,8,9,10,11,12,13,14,15,16,17,18)</f>
        <v>#N/A</v>
      </c>
      <c r="F158">
        <f t="shared" si="6"/>
        <v>0</v>
      </c>
      <c r="G158">
        <f t="shared" si="7"/>
        <v>0</v>
      </c>
      <c r="H158" t="e">
        <f t="shared" si="8"/>
        <v>#N/A</v>
      </c>
    </row>
    <row r="159" spans="1:8" x14ac:dyDescent="0.2">
      <c r="A159">
        <v>157</v>
      </c>
      <c r="E159" t="e">
        <f>CHOOSE(MATCH(B159,{"NOP","LDI","LDR","STR","MOV","ADDI","ADDR","SUBI","SUBR","JMP","JZ","JNZ","MUL","LOOP","AND","HLT","OR","XOR","DIV"},0),0,1,2,3,4,5,6,7,8,9,10,11,12,13,14,15,16,17,18)</f>
        <v>#N/A</v>
      </c>
      <c r="F159">
        <f t="shared" si="6"/>
        <v>0</v>
      </c>
      <c r="G159">
        <f t="shared" si="7"/>
        <v>0</v>
      </c>
      <c r="H159" t="e">
        <f t="shared" si="8"/>
        <v>#N/A</v>
      </c>
    </row>
    <row r="160" spans="1:8" x14ac:dyDescent="0.2">
      <c r="A160">
        <v>158</v>
      </c>
      <c r="E160" t="e">
        <f>CHOOSE(MATCH(B160,{"NOP","LDI","LDR","STR","MOV","ADDI","ADDR","SUBI","SUBR","JMP","JZ","JNZ","MUL","LOOP","AND","HLT","OR","XOR","DIV"},0),0,1,2,3,4,5,6,7,8,9,10,11,12,13,14,15,16,17,18)</f>
        <v>#N/A</v>
      </c>
      <c r="F160">
        <f t="shared" si="6"/>
        <v>0</v>
      </c>
      <c r="G160">
        <f t="shared" si="7"/>
        <v>0</v>
      </c>
      <c r="H160" t="e">
        <f t="shared" si="8"/>
        <v>#N/A</v>
      </c>
    </row>
    <row r="161" spans="1:8" x14ac:dyDescent="0.2">
      <c r="A161">
        <v>159</v>
      </c>
      <c r="E161" t="e">
        <f>CHOOSE(MATCH(B161,{"NOP","LDI","LDR","STR","MOV","ADDI","ADDR","SUBI","SUBR","JMP","JZ","JNZ","MUL","LOOP","AND","HLT","OR","XOR","DIV"},0),0,1,2,3,4,5,6,7,8,9,10,11,12,13,14,15,16,17,18)</f>
        <v>#N/A</v>
      </c>
      <c r="F161">
        <f t="shared" si="6"/>
        <v>0</v>
      </c>
      <c r="G161">
        <f t="shared" si="7"/>
        <v>0</v>
      </c>
      <c r="H161" t="e">
        <f t="shared" si="8"/>
        <v>#N/A</v>
      </c>
    </row>
    <row r="162" spans="1:8" x14ac:dyDescent="0.2">
      <c r="A162">
        <v>160</v>
      </c>
      <c r="E162" t="e">
        <f>CHOOSE(MATCH(B162,{"NOP","LDI","LDR","STR","MOV","ADDI","ADDR","SUBI","SUBR","JMP","JZ","JNZ","MUL","LOOP","AND","HLT","OR","XOR","DIV"},0),0,1,2,3,4,5,6,7,8,9,10,11,12,13,14,15,16,17,18)</f>
        <v>#N/A</v>
      </c>
      <c r="F162">
        <f t="shared" si="6"/>
        <v>0</v>
      </c>
      <c r="G162">
        <f t="shared" si="7"/>
        <v>0</v>
      </c>
      <c r="H162" t="e">
        <f t="shared" si="8"/>
        <v>#N/A</v>
      </c>
    </row>
    <row r="163" spans="1:8" x14ac:dyDescent="0.2">
      <c r="A163">
        <v>161</v>
      </c>
      <c r="E163" t="e">
        <f>CHOOSE(MATCH(B163,{"NOP","LDI","LDR","STR","MOV","ADDI","ADDR","SUBI","SUBR","JMP","JZ","JNZ","MUL","LOOP","AND","HLT","OR","XOR","DIV"},0),0,1,2,3,4,5,6,7,8,9,10,11,12,13,14,15,16,17,18)</f>
        <v>#N/A</v>
      </c>
      <c r="F163">
        <f t="shared" si="6"/>
        <v>0</v>
      </c>
      <c r="G163">
        <f t="shared" si="7"/>
        <v>0</v>
      </c>
      <c r="H163" t="e">
        <f t="shared" si="8"/>
        <v>#N/A</v>
      </c>
    </row>
    <row r="164" spans="1:8" x14ac:dyDescent="0.2">
      <c r="A164">
        <v>162</v>
      </c>
      <c r="E164" t="e">
        <f>CHOOSE(MATCH(B164,{"NOP","LDI","LDR","STR","MOV","ADDI","ADDR","SUBI","SUBR","JMP","JZ","JNZ","MUL","LOOP","AND","HLT","OR","XOR","DIV"},0),0,1,2,3,4,5,6,7,8,9,10,11,12,13,14,15,16,17,18)</f>
        <v>#N/A</v>
      </c>
      <c r="F164">
        <f t="shared" si="6"/>
        <v>0</v>
      </c>
      <c r="G164">
        <f t="shared" si="7"/>
        <v>0</v>
      </c>
      <c r="H164" t="e">
        <f t="shared" si="8"/>
        <v>#N/A</v>
      </c>
    </row>
    <row r="165" spans="1:8" x14ac:dyDescent="0.2">
      <c r="A165">
        <v>163</v>
      </c>
      <c r="E165" t="e">
        <f>CHOOSE(MATCH(B165,{"NOP","LDI","LDR","STR","MOV","ADDI","ADDR","SUBI","SUBR","JMP","JZ","JNZ","MUL","LOOP","AND","HLT","OR","XOR","DIV"},0),0,1,2,3,4,5,6,7,8,9,10,11,12,13,14,15,16,17,18)</f>
        <v>#N/A</v>
      </c>
      <c r="F165">
        <f t="shared" si="6"/>
        <v>0</v>
      </c>
      <c r="G165">
        <f t="shared" si="7"/>
        <v>0</v>
      </c>
      <c r="H165" t="e">
        <f t="shared" si="8"/>
        <v>#N/A</v>
      </c>
    </row>
    <row r="166" spans="1:8" x14ac:dyDescent="0.2">
      <c r="A166">
        <v>164</v>
      </c>
      <c r="E166" t="e">
        <f>CHOOSE(MATCH(B166,{"NOP","LDI","LDR","STR","MOV","ADDI","ADDR","SUBI","SUBR","JMP","JZ","JNZ","MUL","LOOP","AND","HLT","OR","XOR","DIV"},0),0,1,2,3,4,5,6,7,8,9,10,11,12,13,14,15,16,17,18)</f>
        <v>#N/A</v>
      </c>
      <c r="F166">
        <f t="shared" si="6"/>
        <v>0</v>
      </c>
      <c r="G166">
        <f t="shared" si="7"/>
        <v>0</v>
      </c>
      <c r="H166" t="e">
        <f t="shared" si="8"/>
        <v>#N/A</v>
      </c>
    </row>
    <row r="167" spans="1:8" x14ac:dyDescent="0.2">
      <c r="A167">
        <v>165</v>
      </c>
      <c r="E167" t="e">
        <f>CHOOSE(MATCH(B167,{"NOP","LDI","LDR","STR","MOV","ADDI","ADDR","SUBI","SUBR","JMP","JZ","JNZ","MUL","LOOP","AND","HLT","OR","XOR","DIV"},0),0,1,2,3,4,5,6,7,8,9,10,11,12,13,14,15,16,17,18)</f>
        <v>#N/A</v>
      </c>
      <c r="F167">
        <f t="shared" si="6"/>
        <v>0</v>
      </c>
      <c r="G167">
        <f t="shared" si="7"/>
        <v>0</v>
      </c>
      <c r="H167" t="e">
        <f t="shared" si="8"/>
        <v>#N/A</v>
      </c>
    </row>
    <row r="168" spans="1:8" x14ac:dyDescent="0.2">
      <c r="A168">
        <v>166</v>
      </c>
      <c r="E168" t="e">
        <f>CHOOSE(MATCH(B168,{"NOP","LDI","LDR","STR","MOV","ADDI","ADDR","SUBI","SUBR","JMP","JZ","JNZ","MUL","LOOP","AND","HLT","OR","XOR","DIV"},0),0,1,2,3,4,5,6,7,8,9,10,11,12,13,14,15,16,17,18)</f>
        <v>#N/A</v>
      </c>
      <c r="F168">
        <f t="shared" si="6"/>
        <v>0</v>
      </c>
      <c r="G168">
        <f t="shared" si="7"/>
        <v>0</v>
      </c>
      <c r="H168" t="e">
        <f t="shared" si="8"/>
        <v>#N/A</v>
      </c>
    </row>
    <row r="169" spans="1:8" x14ac:dyDescent="0.2">
      <c r="A169">
        <v>167</v>
      </c>
      <c r="E169" t="e">
        <f>CHOOSE(MATCH(B169,{"NOP","LDI","LDR","STR","MOV","ADDI","ADDR","SUBI","SUBR","JMP","JZ","JNZ","MUL","LOOP","AND","HLT","OR","XOR","DIV"},0),0,1,2,3,4,5,6,7,8,9,10,11,12,13,14,15,16,17,18)</f>
        <v>#N/A</v>
      </c>
      <c r="F169">
        <f t="shared" si="6"/>
        <v>0</v>
      </c>
      <c r="G169">
        <f t="shared" si="7"/>
        <v>0</v>
      </c>
      <c r="H169" t="e">
        <f t="shared" si="8"/>
        <v>#N/A</v>
      </c>
    </row>
    <row r="170" spans="1:8" x14ac:dyDescent="0.2">
      <c r="A170">
        <v>168</v>
      </c>
      <c r="E170" t="e">
        <f>CHOOSE(MATCH(B170,{"NOP","LDI","LDR","STR","MOV","ADDI","ADDR","SUBI","SUBR","JMP","JZ","JNZ","MUL","LOOP","AND","HLT","OR","XOR","DIV"},0),0,1,2,3,4,5,6,7,8,9,10,11,12,13,14,15,16,17,18)</f>
        <v>#N/A</v>
      </c>
      <c r="F170">
        <f t="shared" si="6"/>
        <v>0</v>
      </c>
      <c r="G170">
        <f t="shared" si="7"/>
        <v>0</v>
      </c>
      <c r="H170" t="e">
        <f t="shared" si="8"/>
        <v>#N/A</v>
      </c>
    </row>
    <row r="171" spans="1:8" x14ac:dyDescent="0.2">
      <c r="A171">
        <v>169</v>
      </c>
      <c r="E171" t="e">
        <f>CHOOSE(MATCH(B171,{"NOP","LDI","LDR","STR","MOV","ADDI","ADDR","SUBI","SUBR","JMP","JZ","JNZ","MUL","LOOP","AND","HLT","OR","XOR","DIV"},0),0,1,2,3,4,5,6,7,8,9,10,11,12,13,14,15,16,17,18)</f>
        <v>#N/A</v>
      </c>
      <c r="F171">
        <f t="shared" si="6"/>
        <v>0</v>
      </c>
      <c r="G171">
        <f t="shared" si="7"/>
        <v>0</v>
      </c>
      <c r="H171" t="e">
        <f t="shared" si="8"/>
        <v>#N/A</v>
      </c>
    </row>
    <row r="172" spans="1:8" x14ac:dyDescent="0.2">
      <c r="A172">
        <v>170</v>
      </c>
      <c r="E172" t="e">
        <f>CHOOSE(MATCH(B172,{"NOP","LDI","LDR","STR","MOV","ADDI","ADDR","SUBI","SUBR","JMP","JZ","JNZ","MUL","LOOP","AND","HLT","OR","XOR","DIV"},0),0,1,2,3,4,5,6,7,8,9,10,11,12,13,14,15,16,17,18)</f>
        <v>#N/A</v>
      </c>
      <c r="F172">
        <f t="shared" si="6"/>
        <v>0</v>
      </c>
      <c r="G172">
        <f t="shared" si="7"/>
        <v>0</v>
      </c>
      <c r="H172" t="e">
        <f t="shared" si="8"/>
        <v>#N/A</v>
      </c>
    </row>
    <row r="173" spans="1:8" x14ac:dyDescent="0.2">
      <c r="A173">
        <v>171</v>
      </c>
      <c r="E173" t="e">
        <f>CHOOSE(MATCH(B173,{"NOP","LDI","LDR","STR","MOV","ADDI","ADDR","SUBI","SUBR","JMP","JZ","JNZ","MUL","LOOP","AND","HLT","OR","XOR","DIV"},0),0,1,2,3,4,5,6,7,8,9,10,11,12,13,14,15,16,17,18)</f>
        <v>#N/A</v>
      </c>
      <c r="F173">
        <f t="shared" si="6"/>
        <v>0</v>
      </c>
      <c r="G173">
        <f t="shared" si="7"/>
        <v>0</v>
      </c>
      <c r="H173" t="e">
        <f t="shared" si="8"/>
        <v>#N/A</v>
      </c>
    </row>
    <row r="174" spans="1:8" x14ac:dyDescent="0.2">
      <c r="A174">
        <v>172</v>
      </c>
      <c r="E174" t="e">
        <f>CHOOSE(MATCH(B174,{"NOP","LDI","LDR","STR","MOV","ADDI","ADDR","SUBI","SUBR","JMP","JZ","JNZ","MUL","LOOP","AND","HLT","OR","XOR","DIV"},0),0,1,2,3,4,5,6,7,8,9,10,11,12,13,14,15,16,17,18)</f>
        <v>#N/A</v>
      </c>
      <c r="F174">
        <f t="shared" si="6"/>
        <v>0</v>
      </c>
      <c r="G174">
        <f t="shared" si="7"/>
        <v>0</v>
      </c>
      <c r="H174" t="e">
        <f t="shared" si="8"/>
        <v>#N/A</v>
      </c>
    </row>
    <row r="175" spans="1:8" x14ac:dyDescent="0.2">
      <c r="A175">
        <v>173</v>
      </c>
      <c r="E175" t="e">
        <f>CHOOSE(MATCH(B175,{"NOP","LDI","LDR","STR","MOV","ADDI","ADDR","SUBI","SUBR","JMP","JZ","JNZ","MUL","LOOP","AND","HLT","OR","XOR","DIV"},0),0,1,2,3,4,5,6,7,8,9,10,11,12,13,14,15,16,17,18)</f>
        <v>#N/A</v>
      </c>
      <c r="F175">
        <f t="shared" si="6"/>
        <v>0</v>
      </c>
      <c r="G175">
        <f t="shared" si="7"/>
        <v>0</v>
      </c>
      <c r="H175" t="e">
        <f t="shared" si="8"/>
        <v>#N/A</v>
      </c>
    </row>
    <row r="176" spans="1:8" x14ac:dyDescent="0.2">
      <c r="A176">
        <v>174</v>
      </c>
      <c r="E176" t="e">
        <f>CHOOSE(MATCH(B176,{"NOP","LDI","LDR","STR","MOV","ADDI","ADDR","SUBI","SUBR","JMP","JZ","JNZ","MUL","LOOP","AND","HLT","OR","XOR","DIV"},0),0,1,2,3,4,5,6,7,8,9,10,11,12,13,14,15,16,17,18)</f>
        <v>#N/A</v>
      </c>
      <c r="F176">
        <f t="shared" si="6"/>
        <v>0</v>
      </c>
      <c r="G176">
        <f t="shared" si="7"/>
        <v>0</v>
      </c>
      <c r="H176" t="e">
        <f t="shared" si="8"/>
        <v>#N/A</v>
      </c>
    </row>
    <row r="177" spans="1:8" x14ac:dyDescent="0.2">
      <c r="A177">
        <v>175</v>
      </c>
      <c r="E177" t="e">
        <f>CHOOSE(MATCH(B177,{"NOP","LDI","LDR","STR","MOV","ADDI","ADDR","SUBI","SUBR","JMP","JZ","JNZ","MUL","LOOP","AND","HLT","OR","XOR","DIV"},0),0,1,2,3,4,5,6,7,8,9,10,11,12,13,14,15,16,17,18)</f>
        <v>#N/A</v>
      </c>
      <c r="F177">
        <f t="shared" si="6"/>
        <v>0</v>
      </c>
      <c r="G177">
        <f t="shared" si="7"/>
        <v>0</v>
      </c>
      <c r="H177" t="e">
        <f t="shared" si="8"/>
        <v>#N/A</v>
      </c>
    </row>
    <row r="178" spans="1:8" x14ac:dyDescent="0.2">
      <c r="A178">
        <v>176</v>
      </c>
      <c r="E178" t="e">
        <f>CHOOSE(MATCH(B178,{"NOP","LDI","LDR","STR","MOV","ADDI","ADDR","SUBI","SUBR","JMP","JZ","JNZ","MUL","LOOP","AND","HLT","OR","XOR","DIV"},0),0,1,2,3,4,5,6,7,8,9,10,11,12,13,14,15,16,17,18)</f>
        <v>#N/A</v>
      </c>
      <c r="F178">
        <f t="shared" si="6"/>
        <v>0</v>
      </c>
      <c r="G178">
        <f t="shared" si="7"/>
        <v>0</v>
      </c>
      <c r="H178" t="e">
        <f t="shared" si="8"/>
        <v>#N/A</v>
      </c>
    </row>
    <row r="179" spans="1:8" x14ac:dyDescent="0.2">
      <c r="A179">
        <v>177</v>
      </c>
      <c r="E179" t="e">
        <f>CHOOSE(MATCH(B179,{"NOP","LDI","LDR","STR","MOV","ADDI","ADDR","SUBI","SUBR","JMP","JZ","JNZ","MUL","LOOP","AND","HLT","OR","XOR","DIV"},0),0,1,2,3,4,5,6,7,8,9,10,11,12,13,14,15,16,17,18)</f>
        <v>#N/A</v>
      </c>
      <c r="F179">
        <f t="shared" si="6"/>
        <v>0</v>
      </c>
      <c r="G179">
        <f t="shared" si="7"/>
        <v>0</v>
      </c>
      <c r="H179" t="e">
        <f t="shared" si="8"/>
        <v>#N/A</v>
      </c>
    </row>
    <row r="180" spans="1:8" x14ac:dyDescent="0.2">
      <c r="A180">
        <v>178</v>
      </c>
      <c r="E180" t="e">
        <f>CHOOSE(MATCH(B180,{"NOP","LDI","LDR","STR","MOV","ADDI","ADDR","SUBI","SUBR","JMP","JZ","JNZ","MUL","LOOP","AND","HLT","OR","XOR","DIV"},0),0,1,2,3,4,5,6,7,8,9,10,11,12,13,14,15,16,17,18)</f>
        <v>#N/A</v>
      </c>
      <c r="F180">
        <f t="shared" si="6"/>
        <v>0</v>
      </c>
      <c r="G180">
        <f t="shared" si="7"/>
        <v>0</v>
      </c>
      <c r="H180" t="e">
        <f t="shared" si="8"/>
        <v>#N/A</v>
      </c>
    </row>
    <row r="181" spans="1:8" x14ac:dyDescent="0.2">
      <c r="A181">
        <v>179</v>
      </c>
      <c r="E181" t="e">
        <f>CHOOSE(MATCH(B181,{"NOP","LDI","LDR","STR","MOV","ADDI","ADDR","SUBI","SUBR","JMP","JZ","JNZ","MUL","LOOP","AND","HLT","OR","XOR","DIV"},0),0,1,2,3,4,5,6,7,8,9,10,11,12,13,14,15,16,17,18)</f>
        <v>#N/A</v>
      </c>
      <c r="F181">
        <f t="shared" si="6"/>
        <v>0</v>
      </c>
      <c r="G181">
        <f t="shared" si="7"/>
        <v>0</v>
      </c>
      <c r="H181" t="e">
        <f t="shared" si="8"/>
        <v>#N/A</v>
      </c>
    </row>
    <row r="182" spans="1:8" x14ac:dyDescent="0.2">
      <c r="A182">
        <v>180</v>
      </c>
      <c r="E182" t="e">
        <f>CHOOSE(MATCH(B182,{"NOP","LDI","LDR","STR","MOV","ADDI","ADDR","SUBI","SUBR","JMP","JZ","JNZ","MUL","LOOP","AND","HLT","OR","XOR","DIV"},0),0,1,2,3,4,5,6,7,8,9,10,11,12,13,14,15,16,17,18)</f>
        <v>#N/A</v>
      </c>
      <c r="F182">
        <f t="shared" si="6"/>
        <v>0</v>
      </c>
      <c r="G182">
        <f t="shared" si="7"/>
        <v>0</v>
      </c>
      <c r="H182" t="e">
        <f t="shared" si="8"/>
        <v>#N/A</v>
      </c>
    </row>
    <row r="183" spans="1:8" x14ac:dyDescent="0.2">
      <c r="A183">
        <v>181</v>
      </c>
      <c r="E183" t="e">
        <f>CHOOSE(MATCH(B183,{"NOP","LDI","LDR","STR","MOV","ADDI","ADDR","SUBI","SUBR","JMP","JZ","JNZ","MUL","LOOP","AND","HLT","OR","XOR","DIV"},0),0,1,2,3,4,5,6,7,8,9,10,11,12,13,14,15,16,17,18)</f>
        <v>#N/A</v>
      </c>
      <c r="F183">
        <f t="shared" si="6"/>
        <v>0</v>
      </c>
      <c r="G183">
        <f t="shared" si="7"/>
        <v>0</v>
      </c>
      <c r="H183" t="e">
        <f t="shared" si="8"/>
        <v>#N/A</v>
      </c>
    </row>
    <row r="184" spans="1:8" x14ac:dyDescent="0.2">
      <c r="A184">
        <v>182</v>
      </c>
      <c r="E184" t="e">
        <f>CHOOSE(MATCH(B184,{"NOP","LDI","LDR","STR","MOV","ADDI","ADDR","SUBI","SUBR","JMP","JZ","JNZ","MUL","LOOP","AND","HLT","OR","XOR","DIV"},0),0,1,2,3,4,5,6,7,8,9,10,11,12,13,14,15,16,17,18)</f>
        <v>#N/A</v>
      </c>
      <c r="F184">
        <f t="shared" si="6"/>
        <v>0</v>
      </c>
      <c r="G184">
        <f t="shared" si="7"/>
        <v>0</v>
      </c>
      <c r="H184" t="e">
        <f t="shared" si="8"/>
        <v>#N/A</v>
      </c>
    </row>
    <row r="185" spans="1:8" x14ac:dyDescent="0.2">
      <c r="A185">
        <v>183</v>
      </c>
      <c r="E185" t="e">
        <f>CHOOSE(MATCH(B185,{"NOP","LDI","LDR","STR","MOV","ADDI","ADDR","SUBI","SUBR","JMP","JZ","JNZ","MUL","LOOP","AND","HLT","OR","XOR","DIV"},0),0,1,2,3,4,5,6,7,8,9,10,11,12,13,14,15,16,17,18)</f>
        <v>#N/A</v>
      </c>
      <c r="F185">
        <f t="shared" si="6"/>
        <v>0</v>
      </c>
      <c r="G185">
        <f t="shared" si="7"/>
        <v>0</v>
      </c>
      <c r="H185" t="e">
        <f t="shared" si="8"/>
        <v>#N/A</v>
      </c>
    </row>
    <row r="186" spans="1:8" x14ac:dyDescent="0.2">
      <c r="A186">
        <v>184</v>
      </c>
      <c r="E186" t="e">
        <f>CHOOSE(MATCH(B186,{"NOP","LDI","LDR","STR","MOV","ADDI","ADDR","SUBI","SUBR","JMP","JZ","JNZ","MUL","LOOP","AND","HLT","OR","XOR","DIV"},0),0,1,2,3,4,5,6,7,8,9,10,11,12,13,14,15,16,17,18)</f>
        <v>#N/A</v>
      </c>
      <c r="F186">
        <f t="shared" si="6"/>
        <v>0</v>
      </c>
      <c r="G186">
        <f t="shared" si="7"/>
        <v>0</v>
      </c>
      <c r="H186" t="e">
        <f t="shared" si="8"/>
        <v>#N/A</v>
      </c>
    </row>
    <row r="187" spans="1:8" x14ac:dyDescent="0.2">
      <c r="A187">
        <v>185</v>
      </c>
      <c r="E187" t="e">
        <f>CHOOSE(MATCH(B187,{"NOP","LDI","LDR","STR","MOV","ADDI","ADDR","SUBI","SUBR","JMP","JZ","JNZ","MUL","LOOP","AND","HLT","OR","XOR","DIV"},0),0,1,2,3,4,5,6,7,8,9,10,11,12,13,14,15,16,17,18)</f>
        <v>#N/A</v>
      </c>
      <c r="F187">
        <f t="shared" si="6"/>
        <v>0</v>
      </c>
      <c r="G187">
        <f t="shared" si="7"/>
        <v>0</v>
      </c>
      <c r="H187" t="e">
        <f t="shared" si="8"/>
        <v>#N/A</v>
      </c>
    </row>
    <row r="188" spans="1:8" x14ac:dyDescent="0.2">
      <c r="A188">
        <v>186</v>
      </c>
      <c r="E188" t="e">
        <f>CHOOSE(MATCH(B188,{"NOP","LDI","LDR","STR","MOV","ADDI","ADDR","SUBI","SUBR","JMP","JZ","JNZ","MUL","LOOP","AND","HLT","OR","XOR","DIV"},0),0,1,2,3,4,5,6,7,8,9,10,11,12,13,14,15,16,17,18)</f>
        <v>#N/A</v>
      </c>
      <c r="F188">
        <f t="shared" si="6"/>
        <v>0</v>
      </c>
      <c r="G188">
        <f t="shared" si="7"/>
        <v>0</v>
      </c>
      <c r="H188" t="e">
        <f t="shared" si="8"/>
        <v>#N/A</v>
      </c>
    </row>
    <row r="189" spans="1:8" x14ac:dyDescent="0.2">
      <c r="A189">
        <v>187</v>
      </c>
      <c r="E189" t="e">
        <f>CHOOSE(MATCH(B189,{"NOP","LDI","LDR","STR","MOV","ADDI","ADDR","SUBI","SUBR","JMP","JZ","JNZ","MUL","LOOP","AND","HLT","OR","XOR","DIV"},0),0,1,2,3,4,5,6,7,8,9,10,11,12,13,14,15,16,17,18)</f>
        <v>#N/A</v>
      </c>
      <c r="F189">
        <f t="shared" si="6"/>
        <v>0</v>
      </c>
      <c r="G189">
        <f t="shared" si="7"/>
        <v>0</v>
      </c>
      <c r="H189" t="e">
        <f t="shared" si="8"/>
        <v>#N/A</v>
      </c>
    </row>
    <row r="190" spans="1:8" x14ac:dyDescent="0.2">
      <c r="A190">
        <v>188</v>
      </c>
      <c r="E190" t="e">
        <f>CHOOSE(MATCH(B190,{"NOP","LDI","LDR","STR","MOV","ADDI","ADDR","SUBI","SUBR","JMP","JZ","JNZ","MUL","LOOP","AND","HLT","OR","XOR","DIV"},0),0,1,2,3,4,5,6,7,8,9,10,11,12,13,14,15,16,17,18)</f>
        <v>#N/A</v>
      </c>
      <c r="F190">
        <f t="shared" si="6"/>
        <v>0</v>
      </c>
      <c r="G190">
        <f t="shared" si="7"/>
        <v>0</v>
      </c>
      <c r="H190" t="e">
        <f t="shared" si="8"/>
        <v>#N/A</v>
      </c>
    </row>
    <row r="191" spans="1:8" x14ac:dyDescent="0.2">
      <c r="A191">
        <v>189</v>
      </c>
      <c r="E191" t="e">
        <f>CHOOSE(MATCH(B191,{"NOP","LDI","LDR","STR","MOV","ADDI","ADDR","SUBI","SUBR","JMP","JZ","JNZ","MUL","LOOP","AND","HLT","OR","XOR","DIV"},0),0,1,2,3,4,5,6,7,8,9,10,11,12,13,14,15,16,17,18)</f>
        <v>#N/A</v>
      </c>
      <c r="F191">
        <f t="shared" si="6"/>
        <v>0</v>
      </c>
      <c r="G191">
        <f t="shared" si="7"/>
        <v>0</v>
      </c>
      <c r="H191" t="e">
        <f t="shared" si="8"/>
        <v>#N/A</v>
      </c>
    </row>
    <row r="192" spans="1:8" x14ac:dyDescent="0.2">
      <c r="A192">
        <v>190</v>
      </c>
      <c r="E192" t="e">
        <f>CHOOSE(MATCH(B192,{"NOP","LDI","LDR","STR","MOV","ADDI","ADDR","SUBI","SUBR","JMP","JZ","JNZ","MUL","LOOP","AND","HLT","OR","XOR","DIV"},0),0,1,2,3,4,5,6,7,8,9,10,11,12,13,14,15,16,17,18)</f>
        <v>#N/A</v>
      </c>
      <c r="F192">
        <f t="shared" si="6"/>
        <v>0</v>
      </c>
      <c r="G192">
        <f t="shared" si="7"/>
        <v>0</v>
      </c>
      <c r="H192" t="e">
        <f t="shared" si="8"/>
        <v>#N/A</v>
      </c>
    </row>
    <row r="193" spans="1:8" x14ac:dyDescent="0.2">
      <c r="A193">
        <v>191</v>
      </c>
      <c r="E193" t="e">
        <f>CHOOSE(MATCH(B193,{"NOP","LDI","LDR","STR","MOV","ADDI","ADDR","SUBI","SUBR","JMP","JZ","JNZ","MUL","LOOP","AND","HLT","OR","XOR","DIV"},0),0,1,2,3,4,5,6,7,8,9,10,11,12,13,14,15,16,17,18)</f>
        <v>#N/A</v>
      </c>
      <c r="F193">
        <f t="shared" si="6"/>
        <v>0</v>
      </c>
      <c r="G193">
        <f t="shared" si="7"/>
        <v>0</v>
      </c>
      <c r="H193" t="e">
        <f t="shared" si="8"/>
        <v>#N/A</v>
      </c>
    </row>
    <row r="194" spans="1:8" x14ac:dyDescent="0.2">
      <c r="A194">
        <v>192</v>
      </c>
      <c r="E194" t="e">
        <f>CHOOSE(MATCH(B194,{"NOP","LDI","LDR","STR","MOV","ADDI","ADDR","SUBI","SUBR","JMP","JZ","JNZ","MUL","LOOP","AND","HLT","OR","XOR","DIV"},0),0,1,2,3,4,5,6,7,8,9,10,11,12,13,14,15,16,17,18)</f>
        <v>#N/A</v>
      </c>
      <c r="F194">
        <f t="shared" ref="F194:F257" si="9">IF(C194="AX",0,IF(C194="BX",1,IF(C194="CX",2,IF(C194="DX",3,VALUE(C194)))))</f>
        <v>0</v>
      </c>
      <c r="G194">
        <f t="shared" ref="G194:G257" si="10">IF(OR(D194="AX",D194="BX",D194="CX",D194="DX"),   IF(OR(E194=12,E194=14,E194=16,E194=17,E194=18),      IF(D194="AX",128+0,IF(D194="BX",128+1,IF(D194="CX",128+2,128+3))),      IF(D194="AX",0,IF(D194="BX",1,IF(D194="CX",2,3)))   ),   VALUE(D194))</f>
        <v>0</v>
      </c>
      <c r="H194" t="e">
        <f t="shared" ref="H194:H257" si="11">IF(E194=0,"NOP",IF(E194=1,"LDI "&amp;CHOOSE(F194+1,"AX","BX","CX","DX")&amp;","&amp;G194,IF(E194=2,"LDR "&amp;CHOOSE(F194+1,"AX","BX","CX","DX")&amp;",["&amp;G194&amp;"]",IF(E194=3,"STR ["&amp;F194&amp;"],AX",IF(E194=4,"MOV "&amp;CHOOSE(F194+1,"AX","BX","CX","DX")&amp;","&amp;CHOOSE(G194+1,"AX","BX","CX","DX"),IF(E194=5,"ADDI "&amp;CHOOSE(F194+1,"AX","BX","CX","DX")&amp;","&amp;G194,IF(E194=6,"ADDR "&amp;CHOOSE(F194+1,"AX","BX","CX","DX")&amp;","&amp;CHOOSE(G194+1,"AX","BX","CX","DX"),IF(E194=7,"SUBI "&amp;CHOOSE(F194+1,"AX","BX","CX","DX")&amp;","&amp;G194,IF(E194=8,"SUBR "&amp;CHOOSE(F194+1,"AX","BX","CX","DX")&amp;","&amp;CHOOSE(G194+1,"AX","BX","CX","DX"),IF(E194=9,"JMP "&amp;F194,IF(E194=10,"JZ "&amp;F194,IF(E194=11,"JNZ "&amp;F194,IF(E194=12,"MUL "&amp;CHOOSE(F194+1,"AX","BX","CX","DX")&amp;","&amp;IF(G194&gt;=128,CHOOSE(G194-128+1,"AX","BX","CX","DX"),G194),IF(E194=13,"LOOP "&amp;F194,IF(E194=14,"AND "&amp;CHOOSE(F194+1,"AX","BX","CX","DX")&amp;","&amp;IF(G194&gt;=128,CHOOSE(G194-128+1,"AX","BX","CX","DX"),G194),IF(E194=15,"HLT",IF(E194=16,"OR "&amp;CHOOSE(F194+1,"AX","BX","CX","DX")&amp;","&amp;IF(G194&gt;=128,CHOOSE(G194-128+1,"AX","BX","CX","DX"),G194),IF(E194=17,"XOR "&amp;CHOOSE(F194+1,"AX","BX","CX","DX")&amp;","&amp;IF(G194&gt;=128,CHOOSE(G194-128+1,"AX","BX","CX","DX"),G194),IF(E194=18,"DIV AX,"&amp;IF(G194&gt;=128,CHOOSE(G194-128+1,"AX","BX","CX","DX"),G194),"???")))))))))))))))))))</f>
        <v>#N/A</v>
      </c>
    </row>
    <row r="195" spans="1:8" x14ac:dyDescent="0.2">
      <c r="A195">
        <v>193</v>
      </c>
      <c r="E195" t="e">
        <f>CHOOSE(MATCH(B195,{"NOP","LDI","LDR","STR","MOV","ADDI","ADDR","SUBI","SUBR","JMP","JZ","JNZ","MUL","LOOP","AND","HLT","OR","XOR","DIV"},0),0,1,2,3,4,5,6,7,8,9,10,11,12,13,14,15,16,17,18)</f>
        <v>#N/A</v>
      </c>
      <c r="F195">
        <f t="shared" si="9"/>
        <v>0</v>
      </c>
      <c r="G195">
        <f t="shared" si="10"/>
        <v>0</v>
      </c>
      <c r="H195" t="e">
        <f t="shared" si="11"/>
        <v>#N/A</v>
      </c>
    </row>
    <row r="196" spans="1:8" x14ac:dyDescent="0.2">
      <c r="A196">
        <v>194</v>
      </c>
      <c r="E196" t="e">
        <f>CHOOSE(MATCH(B196,{"NOP","LDI","LDR","STR","MOV","ADDI","ADDR","SUBI","SUBR","JMP","JZ","JNZ","MUL","LOOP","AND","HLT","OR","XOR","DIV"},0),0,1,2,3,4,5,6,7,8,9,10,11,12,13,14,15,16,17,18)</f>
        <v>#N/A</v>
      </c>
      <c r="F196">
        <f t="shared" si="9"/>
        <v>0</v>
      </c>
      <c r="G196">
        <f t="shared" si="10"/>
        <v>0</v>
      </c>
      <c r="H196" t="e">
        <f t="shared" si="11"/>
        <v>#N/A</v>
      </c>
    </row>
    <row r="197" spans="1:8" x14ac:dyDescent="0.2">
      <c r="A197">
        <v>195</v>
      </c>
      <c r="E197" t="e">
        <f>CHOOSE(MATCH(B197,{"NOP","LDI","LDR","STR","MOV","ADDI","ADDR","SUBI","SUBR","JMP","JZ","JNZ","MUL","LOOP","AND","HLT","OR","XOR","DIV"},0),0,1,2,3,4,5,6,7,8,9,10,11,12,13,14,15,16,17,18)</f>
        <v>#N/A</v>
      </c>
      <c r="F197">
        <f t="shared" si="9"/>
        <v>0</v>
      </c>
      <c r="G197">
        <f t="shared" si="10"/>
        <v>0</v>
      </c>
      <c r="H197" t="e">
        <f t="shared" si="11"/>
        <v>#N/A</v>
      </c>
    </row>
    <row r="198" spans="1:8" x14ac:dyDescent="0.2">
      <c r="A198">
        <v>196</v>
      </c>
      <c r="E198" t="e">
        <f>CHOOSE(MATCH(B198,{"NOP","LDI","LDR","STR","MOV","ADDI","ADDR","SUBI","SUBR","JMP","JZ","JNZ","MUL","LOOP","AND","HLT","OR","XOR","DIV"},0),0,1,2,3,4,5,6,7,8,9,10,11,12,13,14,15,16,17,18)</f>
        <v>#N/A</v>
      </c>
      <c r="F198">
        <f t="shared" si="9"/>
        <v>0</v>
      </c>
      <c r="G198">
        <f t="shared" si="10"/>
        <v>0</v>
      </c>
      <c r="H198" t="e">
        <f t="shared" si="11"/>
        <v>#N/A</v>
      </c>
    </row>
    <row r="199" spans="1:8" x14ac:dyDescent="0.2">
      <c r="A199">
        <v>197</v>
      </c>
      <c r="E199" t="e">
        <f>CHOOSE(MATCH(B199,{"NOP","LDI","LDR","STR","MOV","ADDI","ADDR","SUBI","SUBR","JMP","JZ","JNZ","MUL","LOOP","AND","HLT","OR","XOR","DIV"},0),0,1,2,3,4,5,6,7,8,9,10,11,12,13,14,15,16,17,18)</f>
        <v>#N/A</v>
      </c>
      <c r="F199">
        <f t="shared" si="9"/>
        <v>0</v>
      </c>
      <c r="G199">
        <f t="shared" si="10"/>
        <v>0</v>
      </c>
      <c r="H199" t="e">
        <f t="shared" si="11"/>
        <v>#N/A</v>
      </c>
    </row>
    <row r="200" spans="1:8" x14ac:dyDescent="0.2">
      <c r="A200">
        <v>198</v>
      </c>
      <c r="E200" t="e">
        <f>CHOOSE(MATCH(B200,{"NOP","LDI","LDR","STR","MOV","ADDI","ADDR","SUBI","SUBR","JMP","JZ","JNZ","MUL","LOOP","AND","HLT","OR","XOR","DIV"},0),0,1,2,3,4,5,6,7,8,9,10,11,12,13,14,15,16,17,18)</f>
        <v>#N/A</v>
      </c>
      <c r="F200">
        <f t="shared" si="9"/>
        <v>0</v>
      </c>
      <c r="G200">
        <f t="shared" si="10"/>
        <v>0</v>
      </c>
      <c r="H200" t="e">
        <f t="shared" si="11"/>
        <v>#N/A</v>
      </c>
    </row>
    <row r="201" spans="1:8" x14ac:dyDescent="0.2">
      <c r="A201">
        <v>199</v>
      </c>
      <c r="E201" t="e">
        <f>CHOOSE(MATCH(B201,{"NOP","LDI","LDR","STR","MOV","ADDI","ADDR","SUBI","SUBR","JMP","JZ","JNZ","MUL","LOOP","AND","HLT","OR","XOR","DIV"},0),0,1,2,3,4,5,6,7,8,9,10,11,12,13,14,15,16,17,18)</f>
        <v>#N/A</v>
      </c>
      <c r="F201">
        <f t="shared" si="9"/>
        <v>0</v>
      </c>
      <c r="G201">
        <f t="shared" si="10"/>
        <v>0</v>
      </c>
      <c r="H201" t="e">
        <f t="shared" si="11"/>
        <v>#N/A</v>
      </c>
    </row>
    <row r="202" spans="1:8" x14ac:dyDescent="0.2">
      <c r="A202">
        <v>200</v>
      </c>
      <c r="E202" t="e">
        <f>CHOOSE(MATCH(B202,{"NOP","LDI","LDR","STR","MOV","ADDI","ADDR","SUBI","SUBR","JMP","JZ","JNZ","MUL","LOOP","AND","HLT","OR","XOR","DIV"},0),0,1,2,3,4,5,6,7,8,9,10,11,12,13,14,15,16,17,18)</f>
        <v>#N/A</v>
      </c>
      <c r="F202">
        <f t="shared" si="9"/>
        <v>0</v>
      </c>
      <c r="G202">
        <f t="shared" si="10"/>
        <v>0</v>
      </c>
      <c r="H202" t="e">
        <f t="shared" si="11"/>
        <v>#N/A</v>
      </c>
    </row>
    <row r="203" spans="1:8" x14ac:dyDescent="0.2">
      <c r="A203">
        <v>201</v>
      </c>
      <c r="E203" t="e">
        <f>CHOOSE(MATCH(B203,{"NOP","LDI","LDR","STR","MOV","ADDI","ADDR","SUBI","SUBR","JMP","JZ","JNZ","MUL","LOOP","AND","HLT","OR","XOR","DIV"},0),0,1,2,3,4,5,6,7,8,9,10,11,12,13,14,15,16,17,18)</f>
        <v>#N/A</v>
      </c>
      <c r="F203">
        <f t="shared" si="9"/>
        <v>0</v>
      </c>
      <c r="G203">
        <f t="shared" si="10"/>
        <v>0</v>
      </c>
      <c r="H203" t="e">
        <f t="shared" si="11"/>
        <v>#N/A</v>
      </c>
    </row>
    <row r="204" spans="1:8" x14ac:dyDescent="0.2">
      <c r="A204">
        <v>202</v>
      </c>
      <c r="E204" t="e">
        <f>CHOOSE(MATCH(B204,{"NOP","LDI","LDR","STR","MOV","ADDI","ADDR","SUBI","SUBR","JMP","JZ","JNZ","MUL","LOOP","AND","HLT","OR","XOR","DIV"},0),0,1,2,3,4,5,6,7,8,9,10,11,12,13,14,15,16,17,18)</f>
        <v>#N/A</v>
      </c>
      <c r="F204">
        <f t="shared" si="9"/>
        <v>0</v>
      </c>
      <c r="G204">
        <f t="shared" si="10"/>
        <v>0</v>
      </c>
      <c r="H204" t="e">
        <f t="shared" si="11"/>
        <v>#N/A</v>
      </c>
    </row>
    <row r="205" spans="1:8" x14ac:dyDescent="0.2">
      <c r="A205">
        <v>203</v>
      </c>
      <c r="E205" t="e">
        <f>CHOOSE(MATCH(B205,{"NOP","LDI","LDR","STR","MOV","ADDI","ADDR","SUBI","SUBR","JMP","JZ","JNZ","MUL","LOOP","AND","HLT","OR","XOR","DIV"},0),0,1,2,3,4,5,6,7,8,9,10,11,12,13,14,15,16,17,18)</f>
        <v>#N/A</v>
      </c>
      <c r="F205">
        <f t="shared" si="9"/>
        <v>0</v>
      </c>
      <c r="G205">
        <f t="shared" si="10"/>
        <v>0</v>
      </c>
      <c r="H205" t="e">
        <f t="shared" si="11"/>
        <v>#N/A</v>
      </c>
    </row>
    <row r="206" spans="1:8" x14ac:dyDescent="0.2">
      <c r="A206">
        <v>204</v>
      </c>
      <c r="E206" t="e">
        <f>CHOOSE(MATCH(B206,{"NOP","LDI","LDR","STR","MOV","ADDI","ADDR","SUBI","SUBR","JMP","JZ","JNZ","MUL","LOOP","AND","HLT","OR","XOR","DIV"},0),0,1,2,3,4,5,6,7,8,9,10,11,12,13,14,15,16,17,18)</f>
        <v>#N/A</v>
      </c>
      <c r="F206">
        <f t="shared" si="9"/>
        <v>0</v>
      </c>
      <c r="G206">
        <f t="shared" si="10"/>
        <v>0</v>
      </c>
      <c r="H206" t="e">
        <f t="shared" si="11"/>
        <v>#N/A</v>
      </c>
    </row>
    <row r="207" spans="1:8" x14ac:dyDescent="0.2">
      <c r="A207">
        <v>205</v>
      </c>
      <c r="E207" t="e">
        <f>CHOOSE(MATCH(B207,{"NOP","LDI","LDR","STR","MOV","ADDI","ADDR","SUBI","SUBR","JMP","JZ","JNZ","MUL","LOOP","AND","HLT","OR","XOR","DIV"},0),0,1,2,3,4,5,6,7,8,9,10,11,12,13,14,15,16,17,18)</f>
        <v>#N/A</v>
      </c>
      <c r="F207">
        <f t="shared" si="9"/>
        <v>0</v>
      </c>
      <c r="G207">
        <f t="shared" si="10"/>
        <v>0</v>
      </c>
      <c r="H207" t="e">
        <f t="shared" si="11"/>
        <v>#N/A</v>
      </c>
    </row>
    <row r="208" spans="1:8" x14ac:dyDescent="0.2">
      <c r="A208">
        <v>206</v>
      </c>
      <c r="E208" t="e">
        <f>CHOOSE(MATCH(B208,{"NOP","LDI","LDR","STR","MOV","ADDI","ADDR","SUBI","SUBR","JMP","JZ","JNZ","MUL","LOOP","AND","HLT","OR","XOR","DIV"},0),0,1,2,3,4,5,6,7,8,9,10,11,12,13,14,15,16,17,18)</f>
        <v>#N/A</v>
      </c>
      <c r="F208">
        <f t="shared" si="9"/>
        <v>0</v>
      </c>
      <c r="G208">
        <f t="shared" si="10"/>
        <v>0</v>
      </c>
      <c r="H208" t="e">
        <f t="shared" si="11"/>
        <v>#N/A</v>
      </c>
    </row>
    <row r="209" spans="1:8" x14ac:dyDescent="0.2">
      <c r="A209">
        <v>207</v>
      </c>
      <c r="E209" t="e">
        <f>CHOOSE(MATCH(B209,{"NOP","LDI","LDR","STR","MOV","ADDI","ADDR","SUBI","SUBR","JMP","JZ","JNZ","MUL","LOOP","AND","HLT","OR","XOR","DIV"},0),0,1,2,3,4,5,6,7,8,9,10,11,12,13,14,15,16,17,18)</f>
        <v>#N/A</v>
      </c>
      <c r="F209">
        <f t="shared" si="9"/>
        <v>0</v>
      </c>
      <c r="G209">
        <f t="shared" si="10"/>
        <v>0</v>
      </c>
      <c r="H209" t="e">
        <f t="shared" si="11"/>
        <v>#N/A</v>
      </c>
    </row>
    <row r="210" spans="1:8" x14ac:dyDescent="0.2">
      <c r="A210">
        <v>208</v>
      </c>
      <c r="E210" t="e">
        <f>CHOOSE(MATCH(B210,{"NOP","LDI","LDR","STR","MOV","ADDI","ADDR","SUBI","SUBR","JMP","JZ","JNZ","MUL","LOOP","AND","HLT","OR","XOR","DIV"},0),0,1,2,3,4,5,6,7,8,9,10,11,12,13,14,15,16,17,18)</f>
        <v>#N/A</v>
      </c>
      <c r="F210">
        <f t="shared" si="9"/>
        <v>0</v>
      </c>
      <c r="G210">
        <f t="shared" si="10"/>
        <v>0</v>
      </c>
      <c r="H210" t="e">
        <f t="shared" si="11"/>
        <v>#N/A</v>
      </c>
    </row>
    <row r="211" spans="1:8" x14ac:dyDescent="0.2">
      <c r="A211">
        <v>209</v>
      </c>
      <c r="E211" t="e">
        <f>CHOOSE(MATCH(B211,{"NOP","LDI","LDR","STR","MOV","ADDI","ADDR","SUBI","SUBR","JMP","JZ","JNZ","MUL","LOOP","AND","HLT","OR","XOR","DIV"},0),0,1,2,3,4,5,6,7,8,9,10,11,12,13,14,15,16,17,18)</f>
        <v>#N/A</v>
      </c>
      <c r="F211">
        <f t="shared" si="9"/>
        <v>0</v>
      </c>
      <c r="G211">
        <f t="shared" si="10"/>
        <v>0</v>
      </c>
      <c r="H211" t="e">
        <f t="shared" si="11"/>
        <v>#N/A</v>
      </c>
    </row>
    <row r="212" spans="1:8" x14ac:dyDescent="0.2">
      <c r="A212">
        <v>210</v>
      </c>
      <c r="E212" t="e">
        <f>CHOOSE(MATCH(B212,{"NOP","LDI","LDR","STR","MOV","ADDI","ADDR","SUBI","SUBR","JMP","JZ","JNZ","MUL","LOOP","AND","HLT","OR","XOR","DIV"},0),0,1,2,3,4,5,6,7,8,9,10,11,12,13,14,15,16,17,18)</f>
        <v>#N/A</v>
      </c>
      <c r="F212">
        <f t="shared" si="9"/>
        <v>0</v>
      </c>
      <c r="G212">
        <f t="shared" si="10"/>
        <v>0</v>
      </c>
      <c r="H212" t="e">
        <f t="shared" si="11"/>
        <v>#N/A</v>
      </c>
    </row>
    <row r="213" spans="1:8" x14ac:dyDescent="0.2">
      <c r="A213">
        <v>211</v>
      </c>
      <c r="E213" t="e">
        <f>CHOOSE(MATCH(B213,{"NOP","LDI","LDR","STR","MOV","ADDI","ADDR","SUBI","SUBR","JMP","JZ","JNZ","MUL","LOOP","AND","HLT","OR","XOR","DIV"},0),0,1,2,3,4,5,6,7,8,9,10,11,12,13,14,15,16,17,18)</f>
        <v>#N/A</v>
      </c>
      <c r="F213">
        <f t="shared" si="9"/>
        <v>0</v>
      </c>
      <c r="G213">
        <f t="shared" si="10"/>
        <v>0</v>
      </c>
      <c r="H213" t="e">
        <f t="shared" si="11"/>
        <v>#N/A</v>
      </c>
    </row>
    <row r="214" spans="1:8" x14ac:dyDescent="0.2">
      <c r="A214">
        <v>212</v>
      </c>
      <c r="E214" t="e">
        <f>CHOOSE(MATCH(B214,{"NOP","LDI","LDR","STR","MOV","ADDI","ADDR","SUBI","SUBR","JMP","JZ","JNZ","MUL","LOOP","AND","HLT","OR","XOR","DIV"},0),0,1,2,3,4,5,6,7,8,9,10,11,12,13,14,15,16,17,18)</f>
        <v>#N/A</v>
      </c>
      <c r="F214">
        <f t="shared" si="9"/>
        <v>0</v>
      </c>
      <c r="G214">
        <f t="shared" si="10"/>
        <v>0</v>
      </c>
      <c r="H214" t="e">
        <f t="shared" si="11"/>
        <v>#N/A</v>
      </c>
    </row>
    <row r="215" spans="1:8" x14ac:dyDescent="0.2">
      <c r="A215">
        <v>213</v>
      </c>
      <c r="E215" t="e">
        <f>CHOOSE(MATCH(B215,{"NOP","LDI","LDR","STR","MOV","ADDI","ADDR","SUBI","SUBR","JMP","JZ","JNZ","MUL","LOOP","AND","HLT","OR","XOR","DIV"},0),0,1,2,3,4,5,6,7,8,9,10,11,12,13,14,15,16,17,18)</f>
        <v>#N/A</v>
      </c>
      <c r="F215">
        <f t="shared" si="9"/>
        <v>0</v>
      </c>
      <c r="G215">
        <f t="shared" si="10"/>
        <v>0</v>
      </c>
      <c r="H215" t="e">
        <f t="shared" si="11"/>
        <v>#N/A</v>
      </c>
    </row>
    <row r="216" spans="1:8" x14ac:dyDescent="0.2">
      <c r="A216">
        <v>214</v>
      </c>
      <c r="E216" t="e">
        <f>CHOOSE(MATCH(B216,{"NOP","LDI","LDR","STR","MOV","ADDI","ADDR","SUBI","SUBR","JMP","JZ","JNZ","MUL","LOOP","AND","HLT","OR","XOR","DIV"},0),0,1,2,3,4,5,6,7,8,9,10,11,12,13,14,15,16,17,18)</f>
        <v>#N/A</v>
      </c>
      <c r="F216">
        <f t="shared" si="9"/>
        <v>0</v>
      </c>
      <c r="G216">
        <f t="shared" si="10"/>
        <v>0</v>
      </c>
      <c r="H216" t="e">
        <f t="shared" si="11"/>
        <v>#N/A</v>
      </c>
    </row>
    <row r="217" spans="1:8" x14ac:dyDescent="0.2">
      <c r="A217">
        <v>215</v>
      </c>
      <c r="E217" t="e">
        <f>CHOOSE(MATCH(B217,{"NOP","LDI","LDR","STR","MOV","ADDI","ADDR","SUBI","SUBR","JMP","JZ","JNZ","MUL","LOOP","AND","HLT","OR","XOR","DIV"},0),0,1,2,3,4,5,6,7,8,9,10,11,12,13,14,15,16,17,18)</f>
        <v>#N/A</v>
      </c>
      <c r="F217">
        <f t="shared" si="9"/>
        <v>0</v>
      </c>
      <c r="G217">
        <f t="shared" si="10"/>
        <v>0</v>
      </c>
      <c r="H217" t="e">
        <f t="shared" si="11"/>
        <v>#N/A</v>
      </c>
    </row>
    <row r="218" spans="1:8" x14ac:dyDescent="0.2">
      <c r="A218">
        <v>216</v>
      </c>
      <c r="E218" t="e">
        <f>CHOOSE(MATCH(B218,{"NOP","LDI","LDR","STR","MOV","ADDI","ADDR","SUBI","SUBR","JMP","JZ","JNZ","MUL","LOOP","AND","HLT","OR","XOR","DIV"},0),0,1,2,3,4,5,6,7,8,9,10,11,12,13,14,15,16,17,18)</f>
        <v>#N/A</v>
      </c>
      <c r="F218">
        <f t="shared" si="9"/>
        <v>0</v>
      </c>
      <c r="G218">
        <f t="shared" si="10"/>
        <v>0</v>
      </c>
      <c r="H218" t="e">
        <f t="shared" si="11"/>
        <v>#N/A</v>
      </c>
    </row>
    <row r="219" spans="1:8" x14ac:dyDescent="0.2">
      <c r="A219">
        <v>217</v>
      </c>
      <c r="E219" t="e">
        <f>CHOOSE(MATCH(B219,{"NOP","LDI","LDR","STR","MOV","ADDI","ADDR","SUBI","SUBR","JMP","JZ","JNZ","MUL","LOOP","AND","HLT","OR","XOR","DIV"},0),0,1,2,3,4,5,6,7,8,9,10,11,12,13,14,15,16,17,18)</f>
        <v>#N/A</v>
      </c>
      <c r="F219">
        <f t="shared" si="9"/>
        <v>0</v>
      </c>
      <c r="G219">
        <f t="shared" si="10"/>
        <v>0</v>
      </c>
      <c r="H219" t="e">
        <f t="shared" si="11"/>
        <v>#N/A</v>
      </c>
    </row>
    <row r="220" spans="1:8" x14ac:dyDescent="0.2">
      <c r="A220">
        <v>218</v>
      </c>
      <c r="E220" t="e">
        <f>CHOOSE(MATCH(B220,{"NOP","LDI","LDR","STR","MOV","ADDI","ADDR","SUBI","SUBR","JMP","JZ","JNZ","MUL","LOOP","AND","HLT","OR","XOR","DIV"},0),0,1,2,3,4,5,6,7,8,9,10,11,12,13,14,15,16,17,18)</f>
        <v>#N/A</v>
      </c>
      <c r="F220">
        <f t="shared" si="9"/>
        <v>0</v>
      </c>
      <c r="G220">
        <f t="shared" si="10"/>
        <v>0</v>
      </c>
      <c r="H220" t="e">
        <f t="shared" si="11"/>
        <v>#N/A</v>
      </c>
    </row>
    <row r="221" spans="1:8" x14ac:dyDescent="0.2">
      <c r="A221">
        <v>219</v>
      </c>
      <c r="E221" t="e">
        <f>CHOOSE(MATCH(B221,{"NOP","LDI","LDR","STR","MOV","ADDI","ADDR","SUBI","SUBR","JMP","JZ","JNZ","MUL","LOOP","AND","HLT","OR","XOR","DIV"},0),0,1,2,3,4,5,6,7,8,9,10,11,12,13,14,15,16,17,18)</f>
        <v>#N/A</v>
      </c>
      <c r="F221">
        <f t="shared" si="9"/>
        <v>0</v>
      </c>
      <c r="G221">
        <f t="shared" si="10"/>
        <v>0</v>
      </c>
      <c r="H221" t="e">
        <f t="shared" si="11"/>
        <v>#N/A</v>
      </c>
    </row>
    <row r="222" spans="1:8" x14ac:dyDescent="0.2">
      <c r="A222">
        <v>220</v>
      </c>
      <c r="E222" t="e">
        <f>CHOOSE(MATCH(B222,{"NOP","LDI","LDR","STR","MOV","ADDI","ADDR","SUBI","SUBR","JMP","JZ","JNZ","MUL","LOOP","AND","HLT","OR","XOR","DIV"},0),0,1,2,3,4,5,6,7,8,9,10,11,12,13,14,15,16,17,18)</f>
        <v>#N/A</v>
      </c>
      <c r="F222">
        <f t="shared" si="9"/>
        <v>0</v>
      </c>
      <c r="G222">
        <f t="shared" si="10"/>
        <v>0</v>
      </c>
      <c r="H222" t="e">
        <f t="shared" si="11"/>
        <v>#N/A</v>
      </c>
    </row>
    <row r="223" spans="1:8" x14ac:dyDescent="0.2">
      <c r="A223">
        <v>221</v>
      </c>
      <c r="E223" t="e">
        <f>CHOOSE(MATCH(B223,{"NOP","LDI","LDR","STR","MOV","ADDI","ADDR","SUBI","SUBR","JMP","JZ","JNZ","MUL","LOOP","AND","HLT","OR","XOR","DIV"},0),0,1,2,3,4,5,6,7,8,9,10,11,12,13,14,15,16,17,18)</f>
        <v>#N/A</v>
      </c>
      <c r="F223">
        <f t="shared" si="9"/>
        <v>0</v>
      </c>
      <c r="G223">
        <f t="shared" si="10"/>
        <v>0</v>
      </c>
      <c r="H223" t="e">
        <f t="shared" si="11"/>
        <v>#N/A</v>
      </c>
    </row>
    <row r="224" spans="1:8" x14ac:dyDescent="0.2">
      <c r="A224">
        <v>222</v>
      </c>
      <c r="E224" t="e">
        <f>CHOOSE(MATCH(B224,{"NOP","LDI","LDR","STR","MOV","ADDI","ADDR","SUBI","SUBR","JMP","JZ","JNZ","MUL","LOOP","AND","HLT","OR","XOR","DIV"},0),0,1,2,3,4,5,6,7,8,9,10,11,12,13,14,15,16,17,18)</f>
        <v>#N/A</v>
      </c>
      <c r="F224">
        <f t="shared" si="9"/>
        <v>0</v>
      </c>
      <c r="G224">
        <f t="shared" si="10"/>
        <v>0</v>
      </c>
      <c r="H224" t="e">
        <f t="shared" si="11"/>
        <v>#N/A</v>
      </c>
    </row>
    <row r="225" spans="1:8" x14ac:dyDescent="0.2">
      <c r="A225">
        <v>223</v>
      </c>
      <c r="E225" t="e">
        <f>CHOOSE(MATCH(B225,{"NOP","LDI","LDR","STR","MOV","ADDI","ADDR","SUBI","SUBR","JMP","JZ","JNZ","MUL","LOOP","AND","HLT","OR","XOR","DIV"},0),0,1,2,3,4,5,6,7,8,9,10,11,12,13,14,15,16,17,18)</f>
        <v>#N/A</v>
      </c>
      <c r="F225">
        <f t="shared" si="9"/>
        <v>0</v>
      </c>
      <c r="G225">
        <f t="shared" si="10"/>
        <v>0</v>
      </c>
      <c r="H225" t="e">
        <f t="shared" si="11"/>
        <v>#N/A</v>
      </c>
    </row>
    <row r="226" spans="1:8" x14ac:dyDescent="0.2">
      <c r="A226">
        <v>224</v>
      </c>
      <c r="E226" t="e">
        <f>CHOOSE(MATCH(B226,{"NOP","LDI","LDR","STR","MOV","ADDI","ADDR","SUBI","SUBR","JMP","JZ","JNZ","MUL","LOOP","AND","HLT","OR","XOR","DIV"},0),0,1,2,3,4,5,6,7,8,9,10,11,12,13,14,15,16,17,18)</f>
        <v>#N/A</v>
      </c>
      <c r="F226">
        <f t="shared" si="9"/>
        <v>0</v>
      </c>
      <c r="G226">
        <f t="shared" si="10"/>
        <v>0</v>
      </c>
      <c r="H226" t="e">
        <f t="shared" si="11"/>
        <v>#N/A</v>
      </c>
    </row>
    <row r="227" spans="1:8" x14ac:dyDescent="0.2">
      <c r="A227">
        <v>225</v>
      </c>
      <c r="E227" t="e">
        <f>CHOOSE(MATCH(B227,{"NOP","LDI","LDR","STR","MOV","ADDI","ADDR","SUBI","SUBR","JMP","JZ","JNZ","MUL","LOOP","AND","HLT","OR","XOR","DIV"},0),0,1,2,3,4,5,6,7,8,9,10,11,12,13,14,15,16,17,18)</f>
        <v>#N/A</v>
      </c>
      <c r="F227">
        <f t="shared" si="9"/>
        <v>0</v>
      </c>
      <c r="G227">
        <f t="shared" si="10"/>
        <v>0</v>
      </c>
      <c r="H227" t="e">
        <f t="shared" si="11"/>
        <v>#N/A</v>
      </c>
    </row>
    <row r="228" spans="1:8" x14ac:dyDescent="0.2">
      <c r="A228">
        <v>226</v>
      </c>
      <c r="E228" t="e">
        <f>CHOOSE(MATCH(B228,{"NOP","LDI","LDR","STR","MOV","ADDI","ADDR","SUBI","SUBR","JMP","JZ","JNZ","MUL","LOOP","AND","HLT","OR","XOR","DIV"},0),0,1,2,3,4,5,6,7,8,9,10,11,12,13,14,15,16,17,18)</f>
        <v>#N/A</v>
      </c>
      <c r="F228">
        <f t="shared" si="9"/>
        <v>0</v>
      </c>
      <c r="G228">
        <f t="shared" si="10"/>
        <v>0</v>
      </c>
      <c r="H228" t="e">
        <f t="shared" si="11"/>
        <v>#N/A</v>
      </c>
    </row>
    <row r="229" spans="1:8" x14ac:dyDescent="0.2">
      <c r="A229">
        <v>227</v>
      </c>
      <c r="E229" t="e">
        <f>CHOOSE(MATCH(B229,{"NOP","LDI","LDR","STR","MOV","ADDI","ADDR","SUBI","SUBR","JMP","JZ","JNZ","MUL","LOOP","AND","HLT","OR","XOR","DIV"},0),0,1,2,3,4,5,6,7,8,9,10,11,12,13,14,15,16,17,18)</f>
        <v>#N/A</v>
      </c>
      <c r="F229">
        <f t="shared" si="9"/>
        <v>0</v>
      </c>
      <c r="G229">
        <f t="shared" si="10"/>
        <v>0</v>
      </c>
      <c r="H229" t="e">
        <f t="shared" si="11"/>
        <v>#N/A</v>
      </c>
    </row>
    <row r="230" spans="1:8" x14ac:dyDescent="0.2">
      <c r="A230">
        <v>228</v>
      </c>
      <c r="E230" t="e">
        <f>CHOOSE(MATCH(B230,{"NOP","LDI","LDR","STR","MOV","ADDI","ADDR","SUBI","SUBR","JMP","JZ","JNZ","MUL","LOOP","AND","HLT","OR","XOR","DIV"},0),0,1,2,3,4,5,6,7,8,9,10,11,12,13,14,15,16,17,18)</f>
        <v>#N/A</v>
      </c>
      <c r="F230">
        <f t="shared" si="9"/>
        <v>0</v>
      </c>
      <c r="G230">
        <f t="shared" si="10"/>
        <v>0</v>
      </c>
      <c r="H230" t="e">
        <f t="shared" si="11"/>
        <v>#N/A</v>
      </c>
    </row>
    <row r="231" spans="1:8" x14ac:dyDescent="0.2">
      <c r="A231">
        <v>229</v>
      </c>
      <c r="E231" t="e">
        <f>CHOOSE(MATCH(B231,{"NOP","LDI","LDR","STR","MOV","ADDI","ADDR","SUBI","SUBR","JMP","JZ","JNZ","MUL","LOOP","AND","HLT","OR","XOR","DIV"},0),0,1,2,3,4,5,6,7,8,9,10,11,12,13,14,15,16,17,18)</f>
        <v>#N/A</v>
      </c>
      <c r="F231">
        <f t="shared" si="9"/>
        <v>0</v>
      </c>
      <c r="G231">
        <f t="shared" si="10"/>
        <v>0</v>
      </c>
      <c r="H231" t="e">
        <f t="shared" si="11"/>
        <v>#N/A</v>
      </c>
    </row>
    <row r="232" spans="1:8" x14ac:dyDescent="0.2">
      <c r="A232">
        <v>230</v>
      </c>
      <c r="E232" t="e">
        <f>CHOOSE(MATCH(B232,{"NOP","LDI","LDR","STR","MOV","ADDI","ADDR","SUBI","SUBR","JMP","JZ","JNZ","MUL","LOOP","AND","HLT","OR","XOR","DIV"},0),0,1,2,3,4,5,6,7,8,9,10,11,12,13,14,15,16,17,18)</f>
        <v>#N/A</v>
      </c>
      <c r="F232">
        <f t="shared" si="9"/>
        <v>0</v>
      </c>
      <c r="G232">
        <f t="shared" si="10"/>
        <v>0</v>
      </c>
      <c r="H232" t="e">
        <f t="shared" si="11"/>
        <v>#N/A</v>
      </c>
    </row>
    <row r="233" spans="1:8" x14ac:dyDescent="0.2">
      <c r="A233">
        <v>231</v>
      </c>
      <c r="E233" t="e">
        <f>CHOOSE(MATCH(B233,{"NOP","LDI","LDR","STR","MOV","ADDI","ADDR","SUBI","SUBR","JMP","JZ","JNZ","MUL","LOOP","AND","HLT","OR","XOR","DIV"},0),0,1,2,3,4,5,6,7,8,9,10,11,12,13,14,15,16,17,18)</f>
        <v>#N/A</v>
      </c>
      <c r="F233">
        <f t="shared" si="9"/>
        <v>0</v>
      </c>
      <c r="G233">
        <f t="shared" si="10"/>
        <v>0</v>
      </c>
      <c r="H233" t="e">
        <f t="shared" si="11"/>
        <v>#N/A</v>
      </c>
    </row>
    <row r="234" spans="1:8" x14ac:dyDescent="0.2">
      <c r="A234">
        <v>232</v>
      </c>
      <c r="E234" t="e">
        <f>CHOOSE(MATCH(B234,{"NOP","LDI","LDR","STR","MOV","ADDI","ADDR","SUBI","SUBR","JMP","JZ","JNZ","MUL","LOOP","AND","HLT","OR","XOR","DIV"},0),0,1,2,3,4,5,6,7,8,9,10,11,12,13,14,15,16,17,18)</f>
        <v>#N/A</v>
      </c>
      <c r="F234">
        <f t="shared" si="9"/>
        <v>0</v>
      </c>
      <c r="G234">
        <f t="shared" si="10"/>
        <v>0</v>
      </c>
      <c r="H234" t="e">
        <f t="shared" si="11"/>
        <v>#N/A</v>
      </c>
    </row>
    <row r="235" spans="1:8" x14ac:dyDescent="0.2">
      <c r="A235">
        <v>233</v>
      </c>
      <c r="E235" t="e">
        <f>CHOOSE(MATCH(B235,{"NOP","LDI","LDR","STR","MOV","ADDI","ADDR","SUBI","SUBR","JMP","JZ","JNZ","MUL","LOOP","AND","HLT","OR","XOR","DIV"},0),0,1,2,3,4,5,6,7,8,9,10,11,12,13,14,15,16,17,18)</f>
        <v>#N/A</v>
      </c>
      <c r="F235">
        <f t="shared" si="9"/>
        <v>0</v>
      </c>
      <c r="G235">
        <f t="shared" si="10"/>
        <v>0</v>
      </c>
      <c r="H235" t="e">
        <f t="shared" si="11"/>
        <v>#N/A</v>
      </c>
    </row>
    <row r="236" spans="1:8" x14ac:dyDescent="0.2">
      <c r="A236">
        <v>234</v>
      </c>
      <c r="E236" t="e">
        <f>CHOOSE(MATCH(B236,{"NOP","LDI","LDR","STR","MOV","ADDI","ADDR","SUBI","SUBR","JMP","JZ","JNZ","MUL","LOOP","AND","HLT","OR","XOR","DIV"},0),0,1,2,3,4,5,6,7,8,9,10,11,12,13,14,15,16,17,18)</f>
        <v>#N/A</v>
      </c>
      <c r="F236">
        <f t="shared" si="9"/>
        <v>0</v>
      </c>
      <c r="G236">
        <f t="shared" si="10"/>
        <v>0</v>
      </c>
      <c r="H236" t="e">
        <f t="shared" si="11"/>
        <v>#N/A</v>
      </c>
    </row>
    <row r="237" spans="1:8" x14ac:dyDescent="0.2">
      <c r="A237">
        <v>235</v>
      </c>
      <c r="E237" t="e">
        <f>CHOOSE(MATCH(B237,{"NOP","LDI","LDR","STR","MOV","ADDI","ADDR","SUBI","SUBR","JMP","JZ","JNZ","MUL","LOOP","AND","HLT","OR","XOR","DIV"},0),0,1,2,3,4,5,6,7,8,9,10,11,12,13,14,15,16,17,18)</f>
        <v>#N/A</v>
      </c>
      <c r="F237">
        <f t="shared" si="9"/>
        <v>0</v>
      </c>
      <c r="G237">
        <f t="shared" si="10"/>
        <v>0</v>
      </c>
      <c r="H237" t="e">
        <f t="shared" si="11"/>
        <v>#N/A</v>
      </c>
    </row>
    <row r="238" spans="1:8" x14ac:dyDescent="0.2">
      <c r="A238">
        <v>236</v>
      </c>
      <c r="E238" t="e">
        <f>CHOOSE(MATCH(B238,{"NOP","LDI","LDR","STR","MOV","ADDI","ADDR","SUBI","SUBR","JMP","JZ","JNZ","MUL","LOOP","AND","HLT","OR","XOR","DIV"},0),0,1,2,3,4,5,6,7,8,9,10,11,12,13,14,15,16,17,18)</f>
        <v>#N/A</v>
      </c>
      <c r="F238">
        <f t="shared" si="9"/>
        <v>0</v>
      </c>
      <c r="G238">
        <f t="shared" si="10"/>
        <v>0</v>
      </c>
      <c r="H238" t="e">
        <f t="shared" si="11"/>
        <v>#N/A</v>
      </c>
    </row>
    <row r="239" spans="1:8" x14ac:dyDescent="0.2">
      <c r="A239">
        <v>237</v>
      </c>
      <c r="E239" t="e">
        <f>CHOOSE(MATCH(B239,{"NOP","LDI","LDR","STR","MOV","ADDI","ADDR","SUBI","SUBR","JMP","JZ","JNZ","MUL","LOOP","AND","HLT","OR","XOR","DIV"},0),0,1,2,3,4,5,6,7,8,9,10,11,12,13,14,15,16,17,18)</f>
        <v>#N/A</v>
      </c>
      <c r="F239">
        <f t="shared" si="9"/>
        <v>0</v>
      </c>
      <c r="G239">
        <f t="shared" si="10"/>
        <v>0</v>
      </c>
      <c r="H239" t="e">
        <f t="shared" si="11"/>
        <v>#N/A</v>
      </c>
    </row>
    <row r="240" spans="1:8" x14ac:dyDescent="0.2">
      <c r="A240">
        <v>238</v>
      </c>
      <c r="E240" t="e">
        <f>CHOOSE(MATCH(B240,{"NOP","LDI","LDR","STR","MOV","ADDI","ADDR","SUBI","SUBR","JMP","JZ","JNZ","MUL","LOOP","AND","HLT","OR","XOR","DIV"},0),0,1,2,3,4,5,6,7,8,9,10,11,12,13,14,15,16,17,18)</f>
        <v>#N/A</v>
      </c>
      <c r="F240">
        <f t="shared" si="9"/>
        <v>0</v>
      </c>
      <c r="G240">
        <f t="shared" si="10"/>
        <v>0</v>
      </c>
      <c r="H240" t="e">
        <f t="shared" si="11"/>
        <v>#N/A</v>
      </c>
    </row>
    <row r="241" spans="1:8" x14ac:dyDescent="0.2">
      <c r="A241">
        <v>239</v>
      </c>
      <c r="E241" t="e">
        <f>CHOOSE(MATCH(B241,{"NOP","LDI","LDR","STR","MOV","ADDI","ADDR","SUBI","SUBR","JMP","JZ","JNZ","MUL","LOOP","AND","HLT","OR","XOR","DIV"},0),0,1,2,3,4,5,6,7,8,9,10,11,12,13,14,15,16,17,18)</f>
        <v>#N/A</v>
      </c>
      <c r="F241">
        <f t="shared" si="9"/>
        <v>0</v>
      </c>
      <c r="G241">
        <f t="shared" si="10"/>
        <v>0</v>
      </c>
      <c r="H241" t="e">
        <f t="shared" si="11"/>
        <v>#N/A</v>
      </c>
    </row>
    <row r="242" spans="1:8" x14ac:dyDescent="0.2">
      <c r="A242">
        <v>240</v>
      </c>
      <c r="E242" t="e">
        <f>CHOOSE(MATCH(B242,{"NOP","LDI","LDR","STR","MOV","ADDI","ADDR","SUBI","SUBR","JMP","JZ","JNZ","MUL","LOOP","AND","HLT","OR","XOR","DIV"},0),0,1,2,3,4,5,6,7,8,9,10,11,12,13,14,15,16,17,18)</f>
        <v>#N/A</v>
      </c>
      <c r="F242">
        <f t="shared" si="9"/>
        <v>0</v>
      </c>
      <c r="G242">
        <f t="shared" si="10"/>
        <v>0</v>
      </c>
      <c r="H242" t="e">
        <f t="shared" si="11"/>
        <v>#N/A</v>
      </c>
    </row>
    <row r="243" spans="1:8" x14ac:dyDescent="0.2">
      <c r="A243">
        <v>241</v>
      </c>
      <c r="E243" t="e">
        <f>CHOOSE(MATCH(B243,{"NOP","LDI","LDR","STR","MOV","ADDI","ADDR","SUBI","SUBR","JMP","JZ","JNZ","MUL","LOOP","AND","HLT","OR","XOR","DIV"},0),0,1,2,3,4,5,6,7,8,9,10,11,12,13,14,15,16,17,18)</f>
        <v>#N/A</v>
      </c>
      <c r="F243">
        <f t="shared" si="9"/>
        <v>0</v>
      </c>
      <c r="G243">
        <f t="shared" si="10"/>
        <v>0</v>
      </c>
      <c r="H243" t="e">
        <f t="shared" si="11"/>
        <v>#N/A</v>
      </c>
    </row>
    <row r="244" spans="1:8" x14ac:dyDescent="0.2">
      <c r="A244">
        <v>242</v>
      </c>
      <c r="E244" t="e">
        <f>CHOOSE(MATCH(B244,{"NOP","LDI","LDR","STR","MOV","ADDI","ADDR","SUBI","SUBR","JMP","JZ","JNZ","MUL","LOOP","AND","HLT","OR","XOR","DIV"},0),0,1,2,3,4,5,6,7,8,9,10,11,12,13,14,15,16,17,18)</f>
        <v>#N/A</v>
      </c>
      <c r="F244">
        <f t="shared" si="9"/>
        <v>0</v>
      </c>
      <c r="G244">
        <f t="shared" si="10"/>
        <v>0</v>
      </c>
      <c r="H244" t="e">
        <f t="shared" si="11"/>
        <v>#N/A</v>
      </c>
    </row>
    <row r="245" spans="1:8" x14ac:dyDescent="0.2">
      <c r="A245">
        <v>243</v>
      </c>
      <c r="E245" t="e">
        <f>CHOOSE(MATCH(B245,{"NOP","LDI","LDR","STR","MOV","ADDI","ADDR","SUBI","SUBR","JMP","JZ","JNZ","MUL","LOOP","AND","HLT","OR","XOR","DIV"},0),0,1,2,3,4,5,6,7,8,9,10,11,12,13,14,15,16,17,18)</f>
        <v>#N/A</v>
      </c>
      <c r="F245">
        <f t="shared" si="9"/>
        <v>0</v>
      </c>
      <c r="G245">
        <f t="shared" si="10"/>
        <v>0</v>
      </c>
      <c r="H245" t="e">
        <f t="shared" si="11"/>
        <v>#N/A</v>
      </c>
    </row>
    <row r="246" spans="1:8" x14ac:dyDescent="0.2">
      <c r="A246">
        <v>244</v>
      </c>
      <c r="E246" t="e">
        <f>CHOOSE(MATCH(B246,{"NOP","LDI","LDR","STR","MOV","ADDI","ADDR","SUBI","SUBR","JMP","JZ","JNZ","MUL","LOOP","AND","HLT","OR","XOR","DIV"},0),0,1,2,3,4,5,6,7,8,9,10,11,12,13,14,15,16,17,18)</f>
        <v>#N/A</v>
      </c>
      <c r="F246">
        <f t="shared" si="9"/>
        <v>0</v>
      </c>
      <c r="G246">
        <f t="shared" si="10"/>
        <v>0</v>
      </c>
      <c r="H246" t="e">
        <f t="shared" si="11"/>
        <v>#N/A</v>
      </c>
    </row>
    <row r="247" spans="1:8" x14ac:dyDescent="0.2">
      <c r="A247">
        <v>245</v>
      </c>
      <c r="E247" t="e">
        <f>CHOOSE(MATCH(B247,{"NOP","LDI","LDR","STR","MOV","ADDI","ADDR","SUBI","SUBR","JMP","JZ","JNZ","MUL","LOOP","AND","HLT","OR","XOR","DIV"},0),0,1,2,3,4,5,6,7,8,9,10,11,12,13,14,15,16,17,18)</f>
        <v>#N/A</v>
      </c>
      <c r="F247">
        <f t="shared" si="9"/>
        <v>0</v>
      </c>
      <c r="G247">
        <f t="shared" si="10"/>
        <v>0</v>
      </c>
      <c r="H247" t="e">
        <f t="shared" si="11"/>
        <v>#N/A</v>
      </c>
    </row>
    <row r="248" spans="1:8" x14ac:dyDescent="0.2">
      <c r="A248">
        <v>246</v>
      </c>
      <c r="E248" t="e">
        <f>CHOOSE(MATCH(B248,{"NOP","LDI","LDR","STR","MOV","ADDI","ADDR","SUBI","SUBR","JMP","JZ","JNZ","MUL","LOOP","AND","HLT","OR","XOR","DIV"},0),0,1,2,3,4,5,6,7,8,9,10,11,12,13,14,15,16,17,18)</f>
        <v>#N/A</v>
      </c>
      <c r="F248">
        <f t="shared" si="9"/>
        <v>0</v>
      </c>
      <c r="G248">
        <f t="shared" si="10"/>
        <v>0</v>
      </c>
      <c r="H248" t="e">
        <f t="shared" si="11"/>
        <v>#N/A</v>
      </c>
    </row>
    <row r="249" spans="1:8" x14ac:dyDescent="0.2">
      <c r="A249">
        <v>247</v>
      </c>
      <c r="E249" t="e">
        <f>CHOOSE(MATCH(B249,{"NOP","LDI","LDR","STR","MOV","ADDI","ADDR","SUBI","SUBR","JMP","JZ","JNZ","MUL","LOOP","AND","HLT","OR","XOR","DIV"},0),0,1,2,3,4,5,6,7,8,9,10,11,12,13,14,15,16,17,18)</f>
        <v>#N/A</v>
      </c>
      <c r="F249">
        <f t="shared" si="9"/>
        <v>0</v>
      </c>
      <c r="G249">
        <f t="shared" si="10"/>
        <v>0</v>
      </c>
      <c r="H249" t="e">
        <f t="shared" si="11"/>
        <v>#N/A</v>
      </c>
    </row>
    <row r="250" spans="1:8" x14ac:dyDescent="0.2">
      <c r="A250">
        <v>248</v>
      </c>
      <c r="E250" t="e">
        <f>CHOOSE(MATCH(B250,{"NOP","LDI","LDR","STR","MOV","ADDI","ADDR","SUBI","SUBR","JMP","JZ","JNZ","MUL","LOOP","AND","HLT","OR","XOR","DIV"},0),0,1,2,3,4,5,6,7,8,9,10,11,12,13,14,15,16,17,18)</f>
        <v>#N/A</v>
      </c>
      <c r="F250">
        <f t="shared" si="9"/>
        <v>0</v>
      </c>
      <c r="G250">
        <f t="shared" si="10"/>
        <v>0</v>
      </c>
      <c r="H250" t="e">
        <f t="shared" si="11"/>
        <v>#N/A</v>
      </c>
    </row>
    <row r="251" spans="1:8" x14ac:dyDescent="0.2">
      <c r="A251">
        <v>249</v>
      </c>
      <c r="E251" t="e">
        <f>CHOOSE(MATCH(B251,{"NOP","LDI","LDR","STR","MOV","ADDI","ADDR","SUBI","SUBR","JMP","JZ","JNZ","MUL","LOOP","AND","HLT","OR","XOR","DIV"},0),0,1,2,3,4,5,6,7,8,9,10,11,12,13,14,15,16,17,18)</f>
        <v>#N/A</v>
      </c>
      <c r="F251">
        <f t="shared" si="9"/>
        <v>0</v>
      </c>
      <c r="G251">
        <f t="shared" si="10"/>
        <v>0</v>
      </c>
      <c r="H251" t="e">
        <f t="shared" si="11"/>
        <v>#N/A</v>
      </c>
    </row>
    <row r="252" spans="1:8" x14ac:dyDescent="0.2">
      <c r="A252">
        <v>250</v>
      </c>
      <c r="E252" t="e">
        <f>CHOOSE(MATCH(B252,{"NOP","LDI","LDR","STR","MOV","ADDI","ADDR","SUBI","SUBR","JMP","JZ","JNZ","MUL","LOOP","AND","HLT","OR","XOR","DIV"},0),0,1,2,3,4,5,6,7,8,9,10,11,12,13,14,15,16,17,18)</f>
        <v>#N/A</v>
      </c>
      <c r="F252">
        <f t="shared" si="9"/>
        <v>0</v>
      </c>
      <c r="G252">
        <f t="shared" si="10"/>
        <v>0</v>
      </c>
      <c r="H252" t="e">
        <f t="shared" si="11"/>
        <v>#N/A</v>
      </c>
    </row>
    <row r="253" spans="1:8" x14ac:dyDescent="0.2">
      <c r="A253">
        <v>251</v>
      </c>
      <c r="E253" t="e">
        <f>CHOOSE(MATCH(B253,{"NOP","LDI","LDR","STR","MOV","ADDI","ADDR","SUBI","SUBR","JMP","JZ","JNZ","MUL","LOOP","AND","HLT","OR","XOR","DIV"},0),0,1,2,3,4,5,6,7,8,9,10,11,12,13,14,15,16,17,18)</f>
        <v>#N/A</v>
      </c>
      <c r="F253">
        <f t="shared" si="9"/>
        <v>0</v>
      </c>
      <c r="G253">
        <f t="shared" si="10"/>
        <v>0</v>
      </c>
      <c r="H253" t="e">
        <f t="shared" si="11"/>
        <v>#N/A</v>
      </c>
    </row>
    <row r="254" spans="1:8" x14ac:dyDescent="0.2">
      <c r="A254">
        <v>252</v>
      </c>
      <c r="E254" t="e">
        <f>CHOOSE(MATCH(B254,{"NOP","LDI","LDR","STR","MOV","ADDI","ADDR","SUBI","SUBR","JMP","JZ","JNZ","MUL","LOOP","AND","HLT","OR","XOR","DIV"},0),0,1,2,3,4,5,6,7,8,9,10,11,12,13,14,15,16,17,18)</f>
        <v>#N/A</v>
      </c>
      <c r="F254">
        <f t="shared" si="9"/>
        <v>0</v>
      </c>
      <c r="G254">
        <f t="shared" si="10"/>
        <v>0</v>
      </c>
      <c r="H254" t="e">
        <f t="shared" si="11"/>
        <v>#N/A</v>
      </c>
    </row>
    <row r="255" spans="1:8" x14ac:dyDescent="0.2">
      <c r="A255">
        <v>253</v>
      </c>
      <c r="E255" t="e">
        <f>CHOOSE(MATCH(B255,{"NOP","LDI","LDR","STR","MOV","ADDI","ADDR","SUBI","SUBR","JMP","JZ","JNZ","MUL","LOOP","AND","HLT","OR","XOR","DIV"},0),0,1,2,3,4,5,6,7,8,9,10,11,12,13,14,15,16,17,18)</f>
        <v>#N/A</v>
      </c>
      <c r="F255">
        <f t="shared" si="9"/>
        <v>0</v>
      </c>
      <c r="G255">
        <f t="shared" si="10"/>
        <v>0</v>
      </c>
      <c r="H255" t="e">
        <f t="shared" si="11"/>
        <v>#N/A</v>
      </c>
    </row>
    <row r="256" spans="1:8" x14ac:dyDescent="0.2">
      <c r="A256">
        <v>254</v>
      </c>
      <c r="E256" t="e">
        <f>CHOOSE(MATCH(B256,{"NOP","LDI","LDR","STR","MOV","ADDI","ADDR","SUBI","SUBR","JMP","JZ","JNZ","MUL","LOOP","AND","HLT","OR","XOR","DIV"},0),0,1,2,3,4,5,6,7,8,9,10,11,12,13,14,15,16,17,18)</f>
        <v>#N/A</v>
      </c>
      <c r="F256">
        <f t="shared" si="9"/>
        <v>0</v>
      </c>
      <c r="G256">
        <f t="shared" si="10"/>
        <v>0</v>
      </c>
      <c r="H256" t="e">
        <f t="shared" si="11"/>
        <v>#N/A</v>
      </c>
    </row>
    <row r="257" spans="1:8" x14ac:dyDescent="0.2">
      <c r="A257">
        <v>255</v>
      </c>
      <c r="E257" t="e">
        <f>CHOOSE(MATCH(B257,{"NOP","LDI","LDR","STR","MOV","ADDI","ADDR","SUBI","SUBR","JMP","JZ","JNZ","MUL","LOOP","AND","HLT","OR","XOR","DIV"},0),0,1,2,3,4,5,6,7,8,9,10,11,12,13,14,15,16,17,18)</f>
        <v>#N/A</v>
      </c>
      <c r="F257">
        <f t="shared" si="9"/>
        <v>0</v>
      </c>
      <c r="G257">
        <f t="shared" si="10"/>
        <v>0</v>
      </c>
      <c r="H257" t="e">
        <f t="shared" si="11"/>
        <v>#N/A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7"/>
  <sheetViews>
    <sheetView zoomScale="316" workbookViewId="0">
      <selection activeCell="C9" sqref="C9"/>
    </sheetView>
  </sheetViews>
  <sheetFormatPr baseColWidth="10" defaultColWidth="8.83203125" defaultRowHeight="15" x14ac:dyDescent="0.2"/>
  <sheetData>
    <row r="1" spans="1:2" x14ac:dyDescent="0.2">
      <c r="A1" t="s">
        <v>0</v>
      </c>
      <c r="B1" t="s">
        <v>13</v>
      </c>
    </row>
    <row r="2" spans="1:2" x14ac:dyDescent="0.2">
      <c r="A2">
        <v>0</v>
      </c>
      <c r="B2">
        <v>0</v>
      </c>
    </row>
    <row r="3" spans="1:2" x14ac:dyDescent="0.2">
      <c r="A3">
        <v>1</v>
      </c>
      <c r="B3">
        <v>36</v>
      </c>
    </row>
    <row r="4" spans="1:2" x14ac:dyDescent="0.2">
      <c r="A4">
        <v>2</v>
      </c>
      <c r="B4">
        <v>15</v>
      </c>
    </row>
    <row r="5" spans="1:2" x14ac:dyDescent="0.2">
      <c r="A5">
        <v>3</v>
      </c>
      <c r="B5">
        <v>0</v>
      </c>
    </row>
    <row r="6" spans="1:2" x14ac:dyDescent="0.2">
      <c r="A6">
        <v>4</v>
      </c>
      <c r="B6">
        <v>0</v>
      </c>
    </row>
    <row r="7" spans="1:2" x14ac:dyDescent="0.2">
      <c r="A7">
        <v>5</v>
      </c>
      <c r="B7">
        <v>0</v>
      </c>
    </row>
    <row r="8" spans="1:2" x14ac:dyDescent="0.2">
      <c r="A8">
        <v>6</v>
      </c>
      <c r="B8">
        <v>0</v>
      </c>
    </row>
    <row r="9" spans="1:2" x14ac:dyDescent="0.2">
      <c r="A9">
        <v>7</v>
      </c>
      <c r="B9">
        <v>5</v>
      </c>
    </row>
    <row r="10" spans="1:2" x14ac:dyDescent="0.2">
      <c r="A10">
        <v>8</v>
      </c>
      <c r="B10">
        <v>0</v>
      </c>
    </row>
    <row r="11" spans="1:2" x14ac:dyDescent="0.2">
      <c r="A11">
        <v>9</v>
      </c>
      <c r="B11">
        <v>0</v>
      </c>
    </row>
    <row r="12" spans="1:2" x14ac:dyDescent="0.2">
      <c r="A12">
        <v>10</v>
      </c>
      <c r="B12">
        <v>3</v>
      </c>
    </row>
    <row r="13" spans="1:2" x14ac:dyDescent="0.2">
      <c r="A13">
        <v>11</v>
      </c>
      <c r="B13">
        <v>0</v>
      </c>
    </row>
    <row r="14" spans="1:2" x14ac:dyDescent="0.2">
      <c r="A14">
        <v>12</v>
      </c>
      <c r="B14">
        <v>0</v>
      </c>
    </row>
    <row r="15" spans="1:2" x14ac:dyDescent="0.2">
      <c r="A15">
        <v>13</v>
      </c>
      <c r="B15">
        <v>0</v>
      </c>
    </row>
    <row r="16" spans="1:2" x14ac:dyDescent="0.2">
      <c r="A16">
        <v>14</v>
      </c>
      <c r="B16">
        <v>0</v>
      </c>
    </row>
    <row r="17" spans="1:2" x14ac:dyDescent="0.2">
      <c r="A17">
        <v>15</v>
      </c>
      <c r="B17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C66"/>
  <sheetViews>
    <sheetView tabSelected="1" zoomScale="226" workbookViewId="0">
      <selection activeCell="O7" sqref="O7"/>
    </sheetView>
  </sheetViews>
  <sheetFormatPr baseColWidth="10" defaultColWidth="8.83203125" defaultRowHeight="15" x14ac:dyDescent="0.2"/>
  <sheetData>
    <row r="1" spans="1:29" x14ac:dyDescent="0.2">
      <c r="A1" t="s">
        <v>14</v>
      </c>
      <c r="B1" t="s">
        <v>15</v>
      </c>
      <c r="C1" t="s">
        <v>9</v>
      </c>
      <c r="D1" t="s">
        <v>16</v>
      </c>
      <c r="E1" t="s">
        <v>10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  <c r="K1" t="s">
        <v>22</v>
      </c>
      <c r="L1" t="s">
        <v>23</v>
      </c>
      <c r="M1" t="s">
        <v>24</v>
      </c>
      <c r="N1" t="s">
        <v>25</v>
      </c>
      <c r="O1" t="s">
        <v>26</v>
      </c>
      <c r="P1" t="s">
        <v>27</v>
      </c>
      <c r="Q1" t="s">
        <v>28</v>
      </c>
      <c r="R1" t="s">
        <v>29</v>
      </c>
      <c r="S1" t="s">
        <v>30</v>
      </c>
      <c r="T1" t="s">
        <v>31</v>
      </c>
      <c r="U1" t="s">
        <v>32</v>
      </c>
      <c r="V1" t="s">
        <v>33</v>
      </c>
      <c r="W1" t="s">
        <v>34</v>
      </c>
      <c r="X1" t="s">
        <v>35</v>
      </c>
      <c r="Y1" t="s">
        <v>36</v>
      </c>
      <c r="Z1" t="s">
        <v>37</v>
      </c>
      <c r="AA1" t="s">
        <v>38</v>
      </c>
      <c r="AB1" t="s">
        <v>39</v>
      </c>
      <c r="AC1" t="s">
        <v>40</v>
      </c>
    </row>
    <row r="2" spans="1:29" x14ac:dyDescent="0.2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 cm="1">
        <f t="array" ref="J2">INDEX(PROGRAM!$E$2:$E$257, B2+1)</f>
        <v>1</v>
      </c>
      <c r="K2" cm="1">
        <f t="array" ref="K2">INDEX(PROGRAM!$F$2:$F$257, B2+1)</f>
        <v>0</v>
      </c>
      <c r="L2" cm="1">
        <f t="array" ref="L2">INDEX(PROGRAM!$G$2:$G$257, B2+1)</f>
        <v>5</v>
      </c>
      <c r="M2">
        <v>0</v>
      </c>
      <c r="N2">
        <f>RAM!B2</f>
        <v>0</v>
      </c>
      <c r="O2">
        <f>RAM!B3</f>
        <v>36</v>
      </c>
      <c r="P2">
        <f>RAM!B4</f>
        <v>15</v>
      </c>
      <c r="Q2">
        <f>RAM!B5</f>
        <v>0</v>
      </c>
      <c r="R2">
        <f>RAM!B6</f>
        <v>0</v>
      </c>
      <c r="S2">
        <f>RAM!B7</f>
        <v>0</v>
      </c>
      <c r="T2">
        <f>RAM!B8</f>
        <v>0</v>
      </c>
      <c r="U2">
        <f>RAM!B9</f>
        <v>5</v>
      </c>
      <c r="V2">
        <f>RAM!B10</f>
        <v>0</v>
      </c>
      <c r="W2">
        <f>RAM!B11</f>
        <v>0</v>
      </c>
      <c r="X2">
        <f>RAM!B12</f>
        <v>3</v>
      </c>
      <c r="Y2">
        <f>RAM!B13</f>
        <v>0</v>
      </c>
      <c r="Z2">
        <f>RAM!B14</f>
        <v>0</v>
      </c>
      <c r="AA2">
        <f>RAM!B15</f>
        <v>0</v>
      </c>
      <c r="AB2">
        <f>RAM!B16</f>
        <v>0</v>
      </c>
      <c r="AC2">
        <f>RAM!B17</f>
        <v>0</v>
      </c>
    </row>
    <row r="3" spans="1:29" x14ac:dyDescent="0.2">
      <c r="A3">
        <f t="shared" ref="A3:A34" si="0">A2+1</f>
        <v>1</v>
      </c>
      <c r="B3">
        <f t="shared" ref="B3:B34" si="1">IF(M2=1,B2,IF(J2=15,B2,IF(J2=9,K2,IF(J2=10,IF(G2=1,K2,B2+1),IF(J2=11,IF(G2=0,K2,B2+1),IF(J2=13,IF(MOD(E2-1,256)&lt;&gt;0,K2,B2+1),B2+1))))))</f>
        <v>1</v>
      </c>
      <c r="C3" cm="1">
        <f t="array" ref="C3">IF(M2=1,C2,IF(J2=15,C2,IF(J2=1,IF(K2=0,L2,C2),IF(J2=2,IF(K2=0,INDEX(N2:AC2,1,L2+1),C2),IF(J2=4,IF(K2=0,CHOOSE(L2+1,C2,D2,E2,F2),C2),IF(J2=5,IF(K2=0,MOD(C2+L2,256),C2),IF(J2=6,IF(K2=0,MOD(C2+CHOOSE(L2+1,C2,D2,E2,F2),256),C2),IF(J2=7,IF(K2=0,MOD(C2-L2,256),C2),IF(J2=8,IF(K2=0,MOD(C2-CHOOSE(L2+1,C2,D2,E2,F2),256),C2),IF(J2=12,IF(K2=0,MOD(C2*(IF(L2&gt;=128,CHOOSE(L2-128+1,C2,D2,E2,F2),L2)),256),C2),IF(J2=14,IF(K2=0,_xlfn.BITAND(C2,(IF(L2&gt;=128,CHOOSE(L2-128+1,C2,D2,E2,F2),L2))),C2),IF(J2=16,IF(K2=0,_xlfn.BITOR(C2,(IF(L2&gt;=128,CHOOSE(L2-128+1,C2,D2,E2,F2),L2))),C2),IF(J2=17,IF(K2=0,_xlfn.BITXOR(C2,(IF(L2&gt;=128,CHOOSE(L2-128+1,C2,D2,E2,F2),L2))),C2),IF(J2=18,IF(0=1,QUOTIENT(C2,(IF(L2&gt;=128,CHOOSE(L2-128+1,C2,D2,E2,F2),L2))),IF(0=3,MOD(C2,(IF(L2&gt;=128,CHOOSE(L2-128+1,C2,D2,E2,F2),L2))),C2)),IF(J2=13,C2,C2)))))))))))))))</f>
        <v>5</v>
      </c>
      <c r="D3" cm="1">
        <f t="array" ref="D3">IF(M2=1,D2,IF(J2=15,D2,IF(J2=1,IF(K2=1,L2,D2),IF(J2=2,IF(K2=1,INDEX(N2:AC2,1,L2+1),D2),IF(J2=4,IF(K2=1,CHOOSE(L2+1,C2,D2,E2,F2),D2),IF(J2=5,IF(K2=1,MOD(D2+L2,256),D2),IF(J2=6,IF(K2=1,MOD(D2+CHOOSE(L2+1,C2,D2,E2,F2),256),D2),IF(J2=7,IF(K2=1,MOD(D2-L2,256),D2),IF(J2=8,IF(K2=1,MOD(D2-CHOOSE(L2+1,C2,D2,E2,F2),256),D2),IF(J2=12,IF(K2=1,MOD(D2*(IF(L2&gt;=128,CHOOSE(L2-128+1,C2,D2,E2,F2),L2)),256),D2),IF(J2=14,IF(K2=1,_xlfn.BITAND(D2,(IF(L2&gt;=128,CHOOSE(L2-128+1,C2,D2,E2,F2),L2))),D2),IF(J2=16,IF(K2=1,_xlfn.BITOR(D2,(IF(L2&gt;=128,CHOOSE(L2-128+1,C2,D2,E2,F2),L2))),D2),IF(J2=17,IF(K2=1,_xlfn.BITXOR(D2,(IF(L2&gt;=128,CHOOSE(L2-128+1,C2,D2,E2,F2),L2))),D2),IF(J2=18,IF(1=1,QUOTIENT(C2,(IF(L2&gt;=128,CHOOSE(L2-128+1,C2,D2,E2,F2),L2))),IF(1=3,MOD(C2,(IF(L2&gt;=128,CHOOSE(L2-128+1,C2,D2,E2,F2),L2))),D2)),IF(J2=13,D2,D2)))))))))))))))</f>
        <v>0</v>
      </c>
      <c r="E3" cm="1">
        <f t="array" ref="E3">IF(M2=1,E2,IF(J2=15,E2,IF(J2=1,IF(K2=2,L2,E2),IF(J2=2,IF(K2=2,INDEX(N2:AC2,1,L2+1),E2),IF(J2=4,IF(K2=2,CHOOSE(L2+1,C2,D2,E2,F2),E2),IF(J2=5,IF(K2=2,MOD(E2+L2,256),E2),IF(J2=6,IF(K2=2,MOD(E2+CHOOSE(L2+1,C2,D2,E2,F2),256),E2),IF(J2=7,IF(K2=2,MOD(E2-L2,256),E2),IF(J2=8,IF(K2=2,MOD(E2-CHOOSE(L2+1,C2,D2,E2,F2),256),E2),IF(J2=12,IF(K2=2,MOD(E2*(IF(L2&gt;=128,CHOOSE(L2-128+1,C2,D2,E2,F2),L2)),256),E2),IF(J2=14,IF(K2=2,_xlfn.BITAND(E2,(IF(L2&gt;=128,CHOOSE(L2-128+1,C2,D2,E2,F2),L2))),E2),IF(J2=16,IF(K2=2,_xlfn.BITOR(E2,(IF(L2&gt;=128,CHOOSE(L2-128+1,C2,D2,E2,F2),L2))),E2),IF(J2=17,IF(K2=2,_xlfn.BITXOR(E2,(IF(L2&gt;=128,CHOOSE(L2-128+1,C2,D2,E2,F2),L2))),E2),IF(J2=18,IF(2=1,QUOTIENT(C2,(IF(L2&gt;=128,CHOOSE(L2-128+1,C2,D2,E2,F2),L2))),IF(2=3,MOD(C2,(IF(L2&gt;=128,CHOOSE(L2-128+1,C2,D2,E2,F2),L2))),E2)),IF(J2=13,MOD(E2-1,256),E2)))))))))))))))</f>
        <v>0</v>
      </c>
      <c r="F3" cm="1">
        <f t="array" ref="F3">IF(M2=1,F2,IF(J2=15,F2,IF(J2=1,IF(K2=3,L2,F2),IF(J2=2,IF(K2=3,INDEX(N2:AC2,1,L2+1),F2),IF(J2=4,IF(K2=3,CHOOSE(L2+1,C2,D2,E2,F2),F2),IF(J2=5,IF(K2=3,MOD(F2+L2,256),F2),IF(J2=6,IF(K2=3,MOD(F2+CHOOSE(L2+1,C2,D2,E2,F2),256),F2),IF(J2=7,IF(K2=3,MOD(F2-L2,256),F2),IF(J2=8,IF(K2=3,MOD(F2-CHOOSE(L2+1,C2,D2,E2,F2),256),F2),IF(J2=12,IF(K2=3,MOD(F2*(IF(L2&gt;=128,CHOOSE(L2-128+1,C2,D2,E2,F2),L2)),256),F2),IF(J2=14,IF(K2=3,_xlfn.BITAND(F2,(IF(L2&gt;=128,CHOOSE(L2-128+1,C2,D2,E2,F2),L2))),F2),IF(J2=16,IF(K2=3,_xlfn.BITOR(F2,(IF(L2&gt;=128,CHOOSE(L2-128+1,C2,D2,E2,F2),L2))),F2),IF(J2=17,IF(K2=3,_xlfn.BITXOR(F2,(IF(L2&gt;=128,CHOOSE(L2-128+1,C2,D2,E2,F2),L2))),F2),IF(J2=18,IF(3=1,QUOTIENT(C2,(IF(L2&gt;=128,CHOOSE(L2-128+1,C2,D2,E2,F2),L2))),IF(3=3,MOD(C2,(IF(L2&gt;=128,CHOOSE(L2-128+1,C2,D2,E2,F2),L2))),F2)),IF(J2=13,F2,F2)))))))))))))))</f>
        <v>0</v>
      </c>
      <c r="G3">
        <f t="shared" ref="G3:G34" si="2">IF(M2=1,G2,IF(OR(J2=5,J2=6,J2=7,J2=8),IF(IF(J2=5,MOD(CHOOSE(K2+1,C2,D2,E2,F2)+L2,256),IF(J2=6,MOD(CHOOSE(K2+1,C2,D2,E2,F2)+CHOOSE(L2+1,C2,D2,E2,F2),256),IF(J2=7,MOD(CHOOSE(K2+1,C2,D2,E2,F2)-L2,256),MOD(CHOOSE(K2+1,C2,D2,E2,F2)-CHOOSE(L2+1,C2,D2,E2,F2),256))))=0,1,0),G2))</f>
        <v>0</v>
      </c>
      <c r="H3">
        <f t="shared" ref="H3:H34" si="3">IF(M2=1,H2,IF(J2=5,IF(CHOOSE(K2+1,C2,D2,E2,F2)+L2&gt;255,1,0),IF(J2=6,IF(CHOOSE(K2+1,C2,D2,E2,F2)+CHOOSE(L2+1,C2,D2,E2,F2)&gt;255,1,0),IF(J2=7,IF(CHOOSE(K2+1,C2,D2,E2,F2)&lt;L2,1,0),IF(J2=8,IF(CHOOSE(K2+1,C2,D2,E2,F2)&lt;CHOOSE(L2+1,C2,D2,E2,F2),1,0),H2)))))</f>
        <v>0</v>
      </c>
      <c r="I3">
        <f t="shared" ref="I3:I34" si="4">IF(M2=1,I2,IF(OR(J2=5,J2=6,J2=7,J2=8),IF(IF(J2=5,MOD(CHOOSE(K2+1,C2,D2,E2,F2)+L2,256),IF(J2=6,MOD(CHOOSE(K2+1,C2,D2,E2,F2)+CHOOSE(L2+1,C2,D2,E2,F2),256),IF(J2=7,MOD(CHOOSE(K2+1,C2,D2,E2,F2)-L2,256),MOD(CHOOSE(K2+1,C2,D2,E2,F2)-CHOOSE(L2+1,C2,D2,E2,F2),256))))&gt;=128,1,0),I2))</f>
        <v>0</v>
      </c>
      <c r="J3" cm="1">
        <f t="array" ref="J3">INDEX(PROGRAM!$E$2:$E$257, B3+1)</f>
        <v>2</v>
      </c>
      <c r="K3" cm="1">
        <f t="array" ref="K3">INDEX(PROGRAM!$F$2:$F$257, B3+1)</f>
        <v>1</v>
      </c>
      <c r="L3" cm="1">
        <f t="array" ref="L3">INDEX(PROGRAM!$G$2:$G$257, B3+1)</f>
        <v>7</v>
      </c>
      <c r="M3">
        <f t="shared" ref="M3:M34" si="5">IF(M2=1,1,IF(J2=15,1,0))</f>
        <v>0</v>
      </c>
      <c r="N3">
        <f t="shared" ref="N3:N34" si="6">IF(M2=1,N2,IF(J2=3,IF(K2=0,C2,N2),N2))</f>
        <v>0</v>
      </c>
      <c r="O3">
        <f t="shared" ref="O3:O34" si="7">IF(M2=1,O2,IF(J2=3,IF(K2=1,C2,O2),O2))</f>
        <v>36</v>
      </c>
      <c r="P3">
        <f t="shared" ref="P3:P34" si="8">IF(M2=1,P2,IF(J2=3,IF(K2=2,C2,P2),P2))</f>
        <v>15</v>
      </c>
      <c r="Q3">
        <f t="shared" ref="Q3:Q34" si="9">IF(M2=1,Q2,IF(J2=3,IF(K2=3,C2,Q2),Q2))</f>
        <v>0</v>
      </c>
      <c r="R3">
        <f t="shared" ref="R3:R34" si="10">IF(M2=1,R2,IF(J2=3,IF(K2=4,C2,R2),R2))</f>
        <v>0</v>
      </c>
      <c r="S3">
        <f t="shared" ref="S3:S34" si="11">IF(M2=1,S2,IF(J2=3,IF(K2=5,C2,S2),S2))</f>
        <v>0</v>
      </c>
      <c r="T3">
        <f t="shared" ref="T3:T34" si="12">IF(M2=1,T2,IF(J2=3,IF(K2=6,C2,T2),T2))</f>
        <v>0</v>
      </c>
      <c r="U3">
        <f t="shared" ref="U3:U34" si="13">IF(M2=1,U2,IF(J2=3,IF(K2=7,C2,U2),U2))</f>
        <v>5</v>
      </c>
      <c r="V3">
        <f t="shared" ref="V3:V34" si="14">IF(M2=1,V2,IF(J2=3,IF(K2=8,C2,V2),V2))</f>
        <v>0</v>
      </c>
      <c r="W3">
        <f t="shared" ref="W3:W34" si="15">IF(M2=1,W2,IF(J2=3,IF(K2=9,C2,W2),W2))</f>
        <v>0</v>
      </c>
      <c r="X3">
        <f t="shared" ref="X3:X34" si="16">IF(M2=1,X2,IF(J2=3,IF(K2=10,C2,X2),X2))</f>
        <v>3</v>
      </c>
      <c r="Y3">
        <f t="shared" ref="Y3:Y34" si="17">IF(M2=1,Y2,IF(J2=3,IF(K2=11,C2,Y2),Y2))</f>
        <v>0</v>
      </c>
      <c r="Z3">
        <f t="shared" ref="Z3:Z34" si="18">IF(M2=1,Z2,IF(J2=3,IF(K2=12,C2,Z2),Z2))</f>
        <v>0</v>
      </c>
      <c r="AA3">
        <f t="shared" ref="AA3:AA34" si="19">IF(M2=1,AA2,IF(J2=3,IF(K2=13,C2,AA2),AA2))</f>
        <v>0</v>
      </c>
      <c r="AB3">
        <f t="shared" ref="AB3:AB34" si="20">IF(M2=1,AB2,IF(J2=3,IF(K2=14,C2,AB2),AB2))</f>
        <v>0</v>
      </c>
      <c r="AC3">
        <f t="shared" ref="AC3:AC34" si="21">IF(M2=1,AC2,IF(J2=3,IF(K2=15,C2,AC2),AC2))</f>
        <v>0</v>
      </c>
    </row>
    <row r="4" spans="1:29" x14ac:dyDescent="0.2">
      <c r="A4">
        <f t="shared" si="0"/>
        <v>2</v>
      </c>
      <c r="B4">
        <f t="shared" si="1"/>
        <v>2</v>
      </c>
      <c r="C4" cm="1">
        <f t="array" ref="C4">IF(M3=1,C3,IF(J3=15,C3,IF(J3=1,IF(K3=0,L3,C3),IF(J3=2,IF(K3=0,INDEX(N3:AC3,1,L3+1),C3),IF(J3=4,IF(K3=0,CHOOSE(L3+1,C3,D3,E3,F3),C3),IF(J3=5,IF(K3=0,MOD(C3+L3,256),C3),IF(J3=6,IF(K3=0,MOD(C3+CHOOSE(L3+1,C3,D3,E3,F3),256),C3),IF(J3=7,IF(K3=0,MOD(C3-L3,256),C3),IF(J3=8,IF(K3=0,MOD(C3-CHOOSE(L3+1,C3,D3,E3,F3),256),C3),IF(J3=12,IF(K3=0,MOD(C3*(IF(L3&gt;=128,CHOOSE(L3-128+1,C3,D3,E3,F3),L3)),256),C3),IF(J3=14,IF(K3=0,_xlfn.BITAND(C3,(IF(L3&gt;=128,CHOOSE(L3-128+1,C3,D3,E3,F3),L3))),C3),IF(J3=16,IF(K3=0,_xlfn.BITOR(C3,(IF(L3&gt;=128,CHOOSE(L3-128+1,C3,D3,E3,F3),L3))),C3),IF(J3=17,IF(K3=0,_xlfn.BITXOR(C3,(IF(L3&gt;=128,CHOOSE(L3-128+1,C3,D3,E3,F3),L3))),C3),IF(J3=18,IF(0=1,QUOTIENT(C3,(IF(L3&gt;=128,CHOOSE(L3-128+1,C3,D3,E3,F3),L3))),IF(0=3,MOD(C3,(IF(L3&gt;=128,CHOOSE(L3-128+1,C3,D3,E3,F3),L3))),C3)),IF(J3=13,C3,C3)))))))))))))))</f>
        <v>5</v>
      </c>
      <c r="D4" cm="1">
        <f t="array" ref="D4">IF(M3=1,D3,IF(J3=15,D3,IF(J3=1,IF(K3=1,L3,D3),IF(J3=2,IF(K3=1,INDEX(N3:AC3,1,L3+1),D3),IF(J3=4,IF(K3=1,CHOOSE(L3+1,C3,D3,E3,F3),D3),IF(J3=5,IF(K3=1,MOD(D3+L3,256),D3),IF(J3=6,IF(K3=1,MOD(D3+CHOOSE(L3+1,C3,D3,E3,F3),256),D3),IF(J3=7,IF(K3=1,MOD(D3-L3,256),D3),IF(J3=8,IF(K3=1,MOD(D3-CHOOSE(L3+1,C3,D3,E3,F3),256),D3),IF(J3=12,IF(K3=1,MOD(D3*(IF(L3&gt;=128,CHOOSE(L3-128+1,C3,D3,E3,F3),L3)),256),D3),IF(J3=14,IF(K3=1,_xlfn.BITAND(D3,(IF(L3&gt;=128,CHOOSE(L3-128+1,C3,D3,E3,F3),L3))),D3),IF(J3=16,IF(K3=1,_xlfn.BITOR(D3,(IF(L3&gt;=128,CHOOSE(L3-128+1,C3,D3,E3,F3),L3))),D3),IF(J3=17,IF(K3=1,_xlfn.BITXOR(D3,(IF(L3&gt;=128,CHOOSE(L3-128+1,C3,D3,E3,F3),L3))),D3),IF(J3=18,IF(1=1,QUOTIENT(C3,(IF(L3&gt;=128,CHOOSE(L3-128+1,C3,D3,E3,F3),L3))),IF(1=3,MOD(C3,(IF(L3&gt;=128,CHOOSE(L3-128+1,C3,D3,E3,F3),L3))),D3)),IF(J3=13,D3,D3)))))))))))))))</f>
        <v>5</v>
      </c>
      <c r="E4" cm="1">
        <f t="array" ref="E4">IF(M3=1,E3,IF(J3=15,E3,IF(J3=1,IF(K3=2,L3,E3),IF(J3=2,IF(K3=2,INDEX(N3:AC3,1,L3+1),E3),IF(J3=4,IF(K3=2,CHOOSE(L3+1,C3,D3,E3,F3),E3),IF(J3=5,IF(K3=2,MOD(E3+L3,256),E3),IF(J3=6,IF(K3=2,MOD(E3+CHOOSE(L3+1,C3,D3,E3,F3),256),E3),IF(J3=7,IF(K3=2,MOD(E3-L3,256),E3),IF(J3=8,IF(K3=2,MOD(E3-CHOOSE(L3+1,C3,D3,E3,F3),256),E3),IF(J3=12,IF(K3=2,MOD(E3*(IF(L3&gt;=128,CHOOSE(L3-128+1,C3,D3,E3,F3),L3)),256),E3),IF(J3=14,IF(K3=2,_xlfn.BITAND(E3,(IF(L3&gt;=128,CHOOSE(L3-128+1,C3,D3,E3,F3),L3))),E3),IF(J3=16,IF(K3=2,_xlfn.BITOR(E3,(IF(L3&gt;=128,CHOOSE(L3-128+1,C3,D3,E3,F3),L3))),E3),IF(J3=17,IF(K3=2,_xlfn.BITXOR(E3,(IF(L3&gt;=128,CHOOSE(L3-128+1,C3,D3,E3,F3),L3))),E3),IF(J3=18,IF(2=1,QUOTIENT(C3,(IF(L3&gt;=128,CHOOSE(L3-128+1,C3,D3,E3,F3),L3))),IF(2=3,MOD(C3,(IF(L3&gt;=128,CHOOSE(L3-128+1,C3,D3,E3,F3),L3))),E3)),IF(J3=13,MOD(E3-1,256),E3)))))))))))))))</f>
        <v>0</v>
      </c>
      <c r="F4" cm="1">
        <f t="array" ref="F4">IF(M3=1,F3,IF(J3=15,F3,IF(J3=1,IF(K3=3,L3,F3),IF(J3=2,IF(K3=3,INDEX(N3:AC3,1,L3+1),F3),IF(J3=4,IF(K3=3,CHOOSE(L3+1,C3,D3,E3,F3),F3),IF(J3=5,IF(K3=3,MOD(F3+L3,256),F3),IF(J3=6,IF(K3=3,MOD(F3+CHOOSE(L3+1,C3,D3,E3,F3),256),F3),IF(J3=7,IF(K3=3,MOD(F3-L3,256),F3),IF(J3=8,IF(K3=3,MOD(F3-CHOOSE(L3+1,C3,D3,E3,F3),256),F3),IF(J3=12,IF(K3=3,MOD(F3*(IF(L3&gt;=128,CHOOSE(L3-128+1,C3,D3,E3,F3),L3)),256),F3),IF(J3=14,IF(K3=3,_xlfn.BITAND(F3,(IF(L3&gt;=128,CHOOSE(L3-128+1,C3,D3,E3,F3),L3))),F3),IF(J3=16,IF(K3=3,_xlfn.BITOR(F3,(IF(L3&gt;=128,CHOOSE(L3-128+1,C3,D3,E3,F3),L3))),F3),IF(J3=17,IF(K3=3,_xlfn.BITXOR(F3,(IF(L3&gt;=128,CHOOSE(L3-128+1,C3,D3,E3,F3),L3))),F3),IF(J3=18,IF(3=1,QUOTIENT(C3,(IF(L3&gt;=128,CHOOSE(L3-128+1,C3,D3,E3,F3),L3))),IF(3=3,MOD(C3,(IF(L3&gt;=128,CHOOSE(L3-128+1,C3,D3,E3,F3),L3))),F3)),IF(J3=13,F3,F3)))))))))))))))</f>
        <v>0</v>
      </c>
      <c r="G4">
        <f t="shared" si="2"/>
        <v>0</v>
      </c>
      <c r="H4">
        <f t="shared" si="3"/>
        <v>0</v>
      </c>
      <c r="I4">
        <f t="shared" si="4"/>
        <v>0</v>
      </c>
      <c r="J4" cm="1">
        <f t="array" ref="J4">INDEX(PROGRAM!$E$2:$E$257, B4+1)</f>
        <v>6</v>
      </c>
      <c r="K4" cm="1">
        <f t="array" ref="K4">INDEX(PROGRAM!$F$2:$F$257, B4+1)</f>
        <v>0</v>
      </c>
      <c r="L4" cm="1">
        <f t="array" ref="L4">INDEX(PROGRAM!$G$2:$G$257, B4+1)</f>
        <v>1</v>
      </c>
      <c r="M4">
        <f t="shared" si="5"/>
        <v>0</v>
      </c>
      <c r="N4">
        <f t="shared" si="6"/>
        <v>0</v>
      </c>
      <c r="O4">
        <f t="shared" si="7"/>
        <v>36</v>
      </c>
      <c r="P4">
        <f t="shared" si="8"/>
        <v>15</v>
      </c>
      <c r="Q4">
        <f t="shared" si="9"/>
        <v>0</v>
      </c>
      <c r="R4">
        <f t="shared" si="10"/>
        <v>0</v>
      </c>
      <c r="S4">
        <f t="shared" si="11"/>
        <v>0</v>
      </c>
      <c r="T4">
        <f t="shared" si="12"/>
        <v>0</v>
      </c>
      <c r="U4">
        <f t="shared" si="13"/>
        <v>5</v>
      </c>
      <c r="V4">
        <f t="shared" si="14"/>
        <v>0</v>
      </c>
      <c r="W4">
        <f t="shared" si="15"/>
        <v>0</v>
      </c>
      <c r="X4">
        <f t="shared" si="16"/>
        <v>3</v>
      </c>
      <c r="Y4">
        <f t="shared" si="17"/>
        <v>0</v>
      </c>
      <c r="Z4">
        <f t="shared" si="18"/>
        <v>0</v>
      </c>
      <c r="AA4">
        <f t="shared" si="19"/>
        <v>0</v>
      </c>
      <c r="AB4">
        <f t="shared" si="20"/>
        <v>0</v>
      </c>
      <c r="AC4">
        <f t="shared" si="21"/>
        <v>0</v>
      </c>
    </row>
    <row r="5" spans="1:29" x14ac:dyDescent="0.2">
      <c r="A5">
        <f t="shared" si="0"/>
        <v>3</v>
      </c>
      <c r="B5">
        <f t="shared" si="1"/>
        <v>3</v>
      </c>
      <c r="C5" cm="1">
        <f t="array" ref="C5">IF(M4=1,C4,IF(J4=15,C4,IF(J4=1,IF(K4=0,L4,C4),IF(J4=2,IF(K4=0,INDEX(N4:AC4,1,L4+1),C4),IF(J4=4,IF(K4=0,CHOOSE(L4+1,C4,D4,E4,F4),C4),IF(J4=5,IF(K4=0,MOD(C4+L4,256),C4),IF(J4=6,IF(K4=0,MOD(C4+CHOOSE(L4+1,C4,D4,E4,F4),256),C4),IF(J4=7,IF(K4=0,MOD(C4-L4,256),C4),IF(J4=8,IF(K4=0,MOD(C4-CHOOSE(L4+1,C4,D4,E4,F4),256),C4),IF(J4=12,IF(K4=0,MOD(C4*(IF(L4&gt;=128,CHOOSE(L4-128+1,C4,D4,E4,F4),L4)),256),C4),IF(J4=14,IF(K4=0,_xlfn.BITAND(C4,(IF(L4&gt;=128,CHOOSE(L4-128+1,C4,D4,E4,F4),L4))),C4),IF(J4=16,IF(K4=0,_xlfn.BITOR(C4,(IF(L4&gt;=128,CHOOSE(L4-128+1,C4,D4,E4,F4),L4))),C4),IF(J4=17,IF(K4=0,_xlfn.BITXOR(C4,(IF(L4&gt;=128,CHOOSE(L4-128+1,C4,D4,E4,F4),L4))),C4),IF(J4=18,IF(0=1,QUOTIENT(C4,(IF(L4&gt;=128,CHOOSE(L4-128+1,C4,D4,E4,F4),L4))),IF(0=3,MOD(C4,(IF(L4&gt;=128,CHOOSE(L4-128+1,C4,D4,E4,F4),L4))),C4)),IF(J4=13,C4,C4)))))))))))))))</f>
        <v>10</v>
      </c>
      <c r="D5" cm="1">
        <f t="array" ref="D5">IF(M4=1,D4,IF(J4=15,D4,IF(J4=1,IF(K4=1,L4,D4),IF(J4=2,IF(K4=1,INDEX(N4:AC4,1,L4+1),D4),IF(J4=4,IF(K4=1,CHOOSE(L4+1,C4,D4,E4,F4),D4),IF(J4=5,IF(K4=1,MOD(D4+L4,256),D4),IF(J4=6,IF(K4=1,MOD(D4+CHOOSE(L4+1,C4,D4,E4,F4),256),D4),IF(J4=7,IF(K4=1,MOD(D4-L4,256),D4),IF(J4=8,IF(K4=1,MOD(D4-CHOOSE(L4+1,C4,D4,E4,F4),256),D4),IF(J4=12,IF(K4=1,MOD(D4*(IF(L4&gt;=128,CHOOSE(L4-128+1,C4,D4,E4,F4),L4)),256),D4),IF(J4=14,IF(K4=1,_xlfn.BITAND(D4,(IF(L4&gt;=128,CHOOSE(L4-128+1,C4,D4,E4,F4),L4))),D4),IF(J4=16,IF(K4=1,_xlfn.BITOR(D4,(IF(L4&gt;=128,CHOOSE(L4-128+1,C4,D4,E4,F4),L4))),D4),IF(J4=17,IF(K4=1,_xlfn.BITXOR(D4,(IF(L4&gt;=128,CHOOSE(L4-128+1,C4,D4,E4,F4),L4))),D4),IF(J4=18,IF(1=1,QUOTIENT(C4,(IF(L4&gt;=128,CHOOSE(L4-128+1,C4,D4,E4,F4),L4))),IF(1=3,MOD(C4,(IF(L4&gt;=128,CHOOSE(L4-128+1,C4,D4,E4,F4),L4))),D4)),IF(J4=13,D4,D4)))))))))))))))</f>
        <v>5</v>
      </c>
      <c r="E5" cm="1">
        <f t="array" ref="E5">IF(M4=1,E4,IF(J4=15,E4,IF(J4=1,IF(K4=2,L4,E4),IF(J4=2,IF(K4=2,INDEX(N4:AC4,1,L4+1),E4),IF(J4=4,IF(K4=2,CHOOSE(L4+1,C4,D4,E4,F4),E4),IF(J4=5,IF(K4=2,MOD(E4+L4,256),E4),IF(J4=6,IF(K4=2,MOD(E4+CHOOSE(L4+1,C4,D4,E4,F4),256),E4),IF(J4=7,IF(K4=2,MOD(E4-L4,256),E4),IF(J4=8,IF(K4=2,MOD(E4-CHOOSE(L4+1,C4,D4,E4,F4),256),E4),IF(J4=12,IF(K4=2,MOD(E4*(IF(L4&gt;=128,CHOOSE(L4-128+1,C4,D4,E4,F4),L4)),256),E4),IF(J4=14,IF(K4=2,_xlfn.BITAND(E4,(IF(L4&gt;=128,CHOOSE(L4-128+1,C4,D4,E4,F4),L4))),E4),IF(J4=16,IF(K4=2,_xlfn.BITOR(E4,(IF(L4&gt;=128,CHOOSE(L4-128+1,C4,D4,E4,F4),L4))),E4),IF(J4=17,IF(K4=2,_xlfn.BITXOR(E4,(IF(L4&gt;=128,CHOOSE(L4-128+1,C4,D4,E4,F4),L4))),E4),IF(J4=18,IF(2=1,QUOTIENT(C4,(IF(L4&gt;=128,CHOOSE(L4-128+1,C4,D4,E4,F4),L4))),IF(2=3,MOD(C4,(IF(L4&gt;=128,CHOOSE(L4-128+1,C4,D4,E4,F4),L4))),E4)),IF(J4=13,MOD(E4-1,256),E4)))))))))))))))</f>
        <v>0</v>
      </c>
      <c r="F5" cm="1">
        <f t="array" ref="F5">IF(M4=1,F4,IF(J4=15,F4,IF(J4=1,IF(K4=3,L4,F4),IF(J4=2,IF(K4=3,INDEX(N4:AC4,1,L4+1),F4),IF(J4=4,IF(K4=3,CHOOSE(L4+1,C4,D4,E4,F4),F4),IF(J4=5,IF(K4=3,MOD(F4+L4,256),F4),IF(J4=6,IF(K4=3,MOD(F4+CHOOSE(L4+1,C4,D4,E4,F4),256),F4),IF(J4=7,IF(K4=3,MOD(F4-L4,256),F4),IF(J4=8,IF(K4=3,MOD(F4-CHOOSE(L4+1,C4,D4,E4,F4),256),F4),IF(J4=12,IF(K4=3,MOD(F4*(IF(L4&gt;=128,CHOOSE(L4-128+1,C4,D4,E4,F4),L4)),256),F4),IF(J4=14,IF(K4=3,_xlfn.BITAND(F4,(IF(L4&gt;=128,CHOOSE(L4-128+1,C4,D4,E4,F4),L4))),F4),IF(J4=16,IF(K4=3,_xlfn.BITOR(F4,(IF(L4&gt;=128,CHOOSE(L4-128+1,C4,D4,E4,F4),L4))),F4),IF(J4=17,IF(K4=3,_xlfn.BITXOR(F4,(IF(L4&gt;=128,CHOOSE(L4-128+1,C4,D4,E4,F4),L4))),F4),IF(J4=18,IF(3=1,QUOTIENT(C4,(IF(L4&gt;=128,CHOOSE(L4-128+1,C4,D4,E4,F4),L4))),IF(3=3,MOD(C4,(IF(L4&gt;=128,CHOOSE(L4-128+1,C4,D4,E4,F4),L4))),F4)),IF(J4=13,F4,F4)))))))))))))))</f>
        <v>0</v>
      </c>
      <c r="G5">
        <f t="shared" si="2"/>
        <v>0</v>
      </c>
      <c r="H5">
        <f t="shared" si="3"/>
        <v>0</v>
      </c>
      <c r="I5">
        <f t="shared" si="4"/>
        <v>0</v>
      </c>
      <c r="J5" cm="1">
        <f t="array" ref="J5">INDEX(PROGRAM!$E$2:$E$257, B5+1)</f>
        <v>3</v>
      </c>
      <c r="K5" cm="1">
        <f t="array" ref="K5">INDEX(PROGRAM!$F$2:$F$257, B5+1)</f>
        <v>1</v>
      </c>
      <c r="L5" cm="1">
        <f t="array" ref="L5">INDEX(PROGRAM!$G$2:$G$257, B5+1)</f>
        <v>0</v>
      </c>
      <c r="M5">
        <f t="shared" si="5"/>
        <v>0</v>
      </c>
      <c r="N5">
        <f t="shared" si="6"/>
        <v>0</v>
      </c>
      <c r="O5">
        <f t="shared" si="7"/>
        <v>36</v>
      </c>
      <c r="P5">
        <f t="shared" si="8"/>
        <v>15</v>
      </c>
      <c r="Q5">
        <f t="shared" si="9"/>
        <v>0</v>
      </c>
      <c r="R5">
        <f t="shared" si="10"/>
        <v>0</v>
      </c>
      <c r="S5">
        <f t="shared" si="11"/>
        <v>0</v>
      </c>
      <c r="T5">
        <f t="shared" si="12"/>
        <v>0</v>
      </c>
      <c r="U5">
        <f t="shared" si="13"/>
        <v>5</v>
      </c>
      <c r="V5">
        <f t="shared" si="14"/>
        <v>0</v>
      </c>
      <c r="W5">
        <f t="shared" si="15"/>
        <v>0</v>
      </c>
      <c r="X5">
        <f t="shared" si="16"/>
        <v>3</v>
      </c>
      <c r="Y5">
        <f t="shared" si="17"/>
        <v>0</v>
      </c>
      <c r="Z5">
        <f t="shared" si="18"/>
        <v>0</v>
      </c>
      <c r="AA5">
        <f t="shared" si="19"/>
        <v>0</v>
      </c>
      <c r="AB5">
        <f t="shared" si="20"/>
        <v>0</v>
      </c>
      <c r="AC5">
        <f t="shared" si="21"/>
        <v>0</v>
      </c>
    </row>
    <row r="6" spans="1:29" x14ac:dyDescent="0.2">
      <c r="A6">
        <f t="shared" si="0"/>
        <v>4</v>
      </c>
      <c r="B6">
        <f t="shared" si="1"/>
        <v>4</v>
      </c>
      <c r="C6" cm="1">
        <f t="array" ref="C6">IF(M5=1,C5,IF(J5=15,C5,IF(J5=1,IF(K5=0,L5,C5),IF(J5=2,IF(K5=0,INDEX(N5:AC5,1,L5+1),C5),IF(J5=4,IF(K5=0,CHOOSE(L5+1,C5,D5,E5,F5),C5),IF(J5=5,IF(K5=0,MOD(C5+L5,256),C5),IF(J5=6,IF(K5=0,MOD(C5+CHOOSE(L5+1,C5,D5,E5,F5),256),C5),IF(J5=7,IF(K5=0,MOD(C5-L5,256),C5),IF(J5=8,IF(K5=0,MOD(C5-CHOOSE(L5+1,C5,D5,E5,F5),256),C5),IF(J5=12,IF(K5=0,MOD(C5*(IF(L5&gt;=128,CHOOSE(L5-128+1,C5,D5,E5,F5),L5)),256),C5),IF(J5=14,IF(K5=0,_xlfn.BITAND(C5,(IF(L5&gt;=128,CHOOSE(L5-128+1,C5,D5,E5,F5),L5))),C5),IF(J5=16,IF(K5=0,_xlfn.BITOR(C5,(IF(L5&gt;=128,CHOOSE(L5-128+1,C5,D5,E5,F5),L5))),C5),IF(J5=17,IF(K5=0,_xlfn.BITXOR(C5,(IF(L5&gt;=128,CHOOSE(L5-128+1,C5,D5,E5,F5),L5))),C5),IF(J5=18,IF(0=1,QUOTIENT(C5,(IF(L5&gt;=128,CHOOSE(L5-128+1,C5,D5,E5,F5),L5))),IF(0=3,MOD(C5,(IF(L5&gt;=128,CHOOSE(L5-128+1,C5,D5,E5,F5),L5))),C5)),IF(J5=13,C5,C5)))))))))))))))</f>
        <v>10</v>
      </c>
      <c r="D6" cm="1">
        <f t="array" ref="D6">IF(M5=1,D5,IF(J5=15,D5,IF(J5=1,IF(K5=1,L5,D5),IF(J5=2,IF(K5=1,INDEX(N5:AC5,1,L5+1),D5),IF(J5=4,IF(K5=1,CHOOSE(L5+1,C5,D5,E5,F5),D5),IF(J5=5,IF(K5=1,MOD(D5+L5,256),D5),IF(J5=6,IF(K5=1,MOD(D5+CHOOSE(L5+1,C5,D5,E5,F5),256),D5),IF(J5=7,IF(K5=1,MOD(D5-L5,256),D5),IF(J5=8,IF(K5=1,MOD(D5-CHOOSE(L5+1,C5,D5,E5,F5),256),D5),IF(J5=12,IF(K5=1,MOD(D5*(IF(L5&gt;=128,CHOOSE(L5-128+1,C5,D5,E5,F5),L5)),256),D5),IF(J5=14,IF(K5=1,_xlfn.BITAND(D5,(IF(L5&gt;=128,CHOOSE(L5-128+1,C5,D5,E5,F5),L5))),D5),IF(J5=16,IF(K5=1,_xlfn.BITOR(D5,(IF(L5&gt;=128,CHOOSE(L5-128+1,C5,D5,E5,F5),L5))),D5),IF(J5=17,IF(K5=1,_xlfn.BITXOR(D5,(IF(L5&gt;=128,CHOOSE(L5-128+1,C5,D5,E5,F5),L5))),D5),IF(J5=18,IF(1=1,QUOTIENT(C5,(IF(L5&gt;=128,CHOOSE(L5-128+1,C5,D5,E5,F5),L5))),IF(1=3,MOD(C5,(IF(L5&gt;=128,CHOOSE(L5-128+1,C5,D5,E5,F5),L5))),D5)),IF(J5=13,D5,D5)))))))))))))))</f>
        <v>5</v>
      </c>
      <c r="E6" cm="1">
        <f t="array" ref="E6">IF(M5=1,E5,IF(J5=15,E5,IF(J5=1,IF(K5=2,L5,E5),IF(J5=2,IF(K5=2,INDEX(N5:AC5,1,L5+1),E5),IF(J5=4,IF(K5=2,CHOOSE(L5+1,C5,D5,E5,F5),E5),IF(J5=5,IF(K5=2,MOD(E5+L5,256),E5),IF(J5=6,IF(K5=2,MOD(E5+CHOOSE(L5+1,C5,D5,E5,F5),256),E5),IF(J5=7,IF(K5=2,MOD(E5-L5,256),E5),IF(J5=8,IF(K5=2,MOD(E5-CHOOSE(L5+1,C5,D5,E5,F5),256),E5),IF(J5=12,IF(K5=2,MOD(E5*(IF(L5&gt;=128,CHOOSE(L5-128+1,C5,D5,E5,F5),L5)),256),E5),IF(J5=14,IF(K5=2,_xlfn.BITAND(E5,(IF(L5&gt;=128,CHOOSE(L5-128+1,C5,D5,E5,F5),L5))),E5),IF(J5=16,IF(K5=2,_xlfn.BITOR(E5,(IF(L5&gt;=128,CHOOSE(L5-128+1,C5,D5,E5,F5),L5))),E5),IF(J5=17,IF(K5=2,_xlfn.BITXOR(E5,(IF(L5&gt;=128,CHOOSE(L5-128+1,C5,D5,E5,F5),L5))),E5),IF(J5=18,IF(2=1,QUOTIENT(C5,(IF(L5&gt;=128,CHOOSE(L5-128+1,C5,D5,E5,F5),L5))),IF(2=3,MOD(C5,(IF(L5&gt;=128,CHOOSE(L5-128+1,C5,D5,E5,F5),L5))),E5)),IF(J5=13,MOD(E5-1,256),E5)))))))))))))))</f>
        <v>0</v>
      </c>
      <c r="F6" cm="1">
        <f t="array" ref="F6">IF(M5=1,F5,IF(J5=15,F5,IF(J5=1,IF(K5=3,L5,F5),IF(J5=2,IF(K5=3,INDEX(N5:AC5,1,L5+1),F5),IF(J5=4,IF(K5=3,CHOOSE(L5+1,C5,D5,E5,F5),F5),IF(J5=5,IF(K5=3,MOD(F5+L5,256),F5),IF(J5=6,IF(K5=3,MOD(F5+CHOOSE(L5+1,C5,D5,E5,F5),256),F5),IF(J5=7,IF(K5=3,MOD(F5-L5,256),F5),IF(J5=8,IF(K5=3,MOD(F5-CHOOSE(L5+1,C5,D5,E5,F5),256),F5),IF(J5=12,IF(K5=3,MOD(F5*(IF(L5&gt;=128,CHOOSE(L5-128+1,C5,D5,E5,F5),L5)),256),F5),IF(J5=14,IF(K5=3,_xlfn.BITAND(F5,(IF(L5&gt;=128,CHOOSE(L5-128+1,C5,D5,E5,F5),L5))),F5),IF(J5=16,IF(K5=3,_xlfn.BITOR(F5,(IF(L5&gt;=128,CHOOSE(L5-128+1,C5,D5,E5,F5),L5))),F5),IF(J5=17,IF(K5=3,_xlfn.BITXOR(F5,(IF(L5&gt;=128,CHOOSE(L5-128+1,C5,D5,E5,F5),L5))),F5),IF(J5=18,IF(3=1,QUOTIENT(C5,(IF(L5&gt;=128,CHOOSE(L5-128+1,C5,D5,E5,F5),L5))),IF(3=3,MOD(C5,(IF(L5&gt;=128,CHOOSE(L5-128+1,C5,D5,E5,F5),L5))),F5)),IF(J5=13,F5,F5)))))))))))))))</f>
        <v>0</v>
      </c>
      <c r="G6">
        <f t="shared" si="2"/>
        <v>0</v>
      </c>
      <c r="H6">
        <f t="shared" si="3"/>
        <v>0</v>
      </c>
      <c r="I6">
        <f t="shared" si="4"/>
        <v>0</v>
      </c>
      <c r="J6" cm="1">
        <f t="array" ref="J6">INDEX(PROGRAM!$E$2:$E$257, B6+1)</f>
        <v>15</v>
      </c>
      <c r="K6" cm="1">
        <f t="array" ref="K6">INDEX(PROGRAM!$F$2:$F$257, B6+1)</f>
        <v>0</v>
      </c>
      <c r="L6" cm="1">
        <f t="array" ref="L6">INDEX(PROGRAM!$G$2:$G$257, B6+1)</f>
        <v>0</v>
      </c>
      <c r="M6">
        <f t="shared" si="5"/>
        <v>0</v>
      </c>
      <c r="N6">
        <f t="shared" si="6"/>
        <v>0</v>
      </c>
      <c r="O6">
        <f t="shared" si="7"/>
        <v>10</v>
      </c>
      <c r="P6">
        <f t="shared" si="8"/>
        <v>15</v>
      </c>
      <c r="Q6">
        <f t="shared" si="9"/>
        <v>0</v>
      </c>
      <c r="R6">
        <f t="shared" si="10"/>
        <v>0</v>
      </c>
      <c r="S6">
        <f t="shared" si="11"/>
        <v>0</v>
      </c>
      <c r="T6">
        <f t="shared" si="12"/>
        <v>0</v>
      </c>
      <c r="U6">
        <f t="shared" si="13"/>
        <v>5</v>
      </c>
      <c r="V6">
        <f t="shared" si="14"/>
        <v>0</v>
      </c>
      <c r="W6">
        <f t="shared" si="15"/>
        <v>0</v>
      </c>
      <c r="X6">
        <f t="shared" si="16"/>
        <v>3</v>
      </c>
      <c r="Y6">
        <f t="shared" si="17"/>
        <v>0</v>
      </c>
      <c r="Z6">
        <f t="shared" si="18"/>
        <v>0</v>
      </c>
      <c r="AA6">
        <f t="shared" si="19"/>
        <v>0</v>
      </c>
      <c r="AB6">
        <f t="shared" si="20"/>
        <v>0</v>
      </c>
      <c r="AC6">
        <f t="shared" si="21"/>
        <v>0</v>
      </c>
    </row>
    <row r="7" spans="1:29" x14ac:dyDescent="0.2">
      <c r="A7">
        <f t="shared" si="0"/>
        <v>5</v>
      </c>
      <c r="B7">
        <f t="shared" si="1"/>
        <v>4</v>
      </c>
      <c r="C7" cm="1">
        <f t="array" ref="C7">IF(M6=1,C6,IF(J6=15,C6,IF(J6=1,IF(K6=0,L6,C6),IF(J6=2,IF(K6=0,INDEX(N6:AC6,1,L6+1),C6),IF(J6=4,IF(K6=0,CHOOSE(L6+1,C6,D6,E6,F6),C6),IF(J6=5,IF(K6=0,MOD(C6+L6,256),C6),IF(J6=6,IF(K6=0,MOD(C6+CHOOSE(L6+1,C6,D6,E6,F6),256),C6),IF(J6=7,IF(K6=0,MOD(C6-L6,256),C6),IF(J6=8,IF(K6=0,MOD(C6-CHOOSE(L6+1,C6,D6,E6,F6),256),C6),IF(J6=12,IF(K6=0,MOD(C6*(IF(L6&gt;=128,CHOOSE(L6-128+1,C6,D6,E6,F6),L6)),256),C6),IF(J6=14,IF(K6=0,_xlfn.BITAND(C6,(IF(L6&gt;=128,CHOOSE(L6-128+1,C6,D6,E6,F6),L6))),C6),IF(J6=16,IF(K6=0,_xlfn.BITOR(C6,(IF(L6&gt;=128,CHOOSE(L6-128+1,C6,D6,E6,F6),L6))),C6),IF(J6=17,IF(K6=0,_xlfn.BITXOR(C6,(IF(L6&gt;=128,CHOOSE(L6-128+1,C6,D6,E6,F6),L6))),C6),IF(J6=18,IF(0=1,QUOTIENT(C6,(IF(L6&gt;=128,CHOOSE(L6-128+1,C6,D6,E6,F6),L6))),IF(0=3,MOD(C6,(IF(L6&gt;=128,CHOOSE(L6-128+1,C6,D6,E6,F6),L6))),C6)),IF(J6=13,C6,C6)))))))))))))))</f>
        <v>10</v>
      </c>
      <c r="D7" cm="1">
        <f t="array" ref="D7">IF(M6=1,D6,IF(J6=15,D6,IF(J6=1,IF(K6=1,L6,D6),IF(J6=2,IF(K6=1,INDEX(N6:AC6,1,L6+1),D6),IF(J6=4,IF(K6=1,CHOOSE(L6+1,C6,D6,E6,F6),D6),IF(J6=5,IF(K6=1,MOD(D6+L6,256),D6),IF(J6=6,IF(K6=1,MOD(D6+CHOOSE(L6+1,C6,D6,E6,F6),256),D6),IF(J6=7,IF(K6=1,MOD(D6-L6,256),D6),IF(J6=8,IF(K6=1,MOD(D6-CHOOSE(L6+1,C6,D6,E6,F6),256),D6),IF(J6=12,IF(K6=1,MOD(D6*(IF(L6&gt;=128,CHOOSE(L6-128+1,C6,D6,E6,F6),L6)),256),D6),IF(J6=14,IF(K6=1,_xlfn.BITAND(D6,(IF(L6&gt;=128,CHOOSE(L6-128+1,C6,D6,E6,F6),L6))),D6),IF(J6=16,IF(K6=1,_xlfn.BITOR(D6,(IF(L6&gt;=128,CHOOSE(L6-128+1,C6,D6,E6,F6),L6))),D6),IF(J6=17,IF(K6=1,_xlfn.BITXOR(D6,(IF(L6&gt;=128,CHOOSE(L6-128+1,C6,D6,E6,F6),L6))),D6),IF(J6=18,IF(1=1,QUOTIENT(C6,(IF(L6&gt;=128,CHOOSE(L6-128+1,C6,D6,E6,F6),L6))),IF(1=3,MOD(C6,(IF(L6&gt;=128,CHOOSE(L6-128+1,C6,D6,E6,F6),L6))),D6)),IF(J6=13,D6,D6)))))))))))))))</f>
        <v>5</v>
      </c>
      <c r="E7" cm="1">
        <f t="array" ref="E7">IF(M6=1,E6,IF(J6=15,E6,IF(J6=1,IF(K6=2,L6,E6),IF(J6=2,IF(K6=2,INDEX(N6:AC6,1,L6+1),E6),IF(J6=4,IF(K6=2,CHOOSE(L6+1,C6,D6,E6,F6),E6),IF(J6=5,IF(K6=2,MOD(E6+L6,256),E6),IF(J6=6,IF(K6=2,MOD(E6+CHOOSE(L6+1,C6,D6,E6,F6),256),E6),IF(J6=7,IF(K6=2,MOD(E6-L6,256),E6),IF(J6=8,IF(K6=2,MOD(E6-CHOOSE(L6+1,C6,D6,E6,F6),256),E6),IF(J6=12,IF(K6=2,MOD(E6*(IF(L6&gt;=128,CHOOSE(L6-128+1,C6,D6,E6,F6),L6)),256),E6),IF(J6=14,IF(K6=2,_xlfn.BITAND(E6,(IF(L6&gt;=128,CHOOSE(L6-128+1,C6,D6,E6,F6),L6))),E6),IF(J6=16,IF(K6=2,_xlfn.BITOR(E6,(IF(L6&gt;=128,CHOOSE(L6-128+1,C6,D6,E6,F6),L6))),E6),IF(J6=17,IF(K6=2,_xlfn.BITXOR(E6,(IF(L6&gt;=128,CHOOSE(L6-128+1,C6,D6,E6,F6),L6))),E6),IF(J6=18,IF(2=1,QUOTIENT(C6,(IF(L6&gt;=128,CHOOSE(L6-128+1,C6,D6,E6,F6),L6))),IF(2=3,MOD(C6,(IF(L6&gt;=128,CHOOSE(L6-128+1,C6,D6,E6,F6),L6))),E6)),IF(J6=13,MOD(E6-1,256),E6)))))))))))))))</f>
        <v>0</v>
      </c>
      <c r="F7" cm="1">
        <f t="array" ref="F7">IF(M6=1,F6,IF(J6=15,F6,IF(J6=1,IF(K6=3,L6,F6),IF(J6=2,IF(K6=3,INDEX(N6:AC6,1,L6+1),F6),IF(J6=4,IF(K6=3,CHOOSE(L6+1,C6,D6,E6,F6),F6),IF(J6=5,IF(K6=3,MOD(F6+L6,256),F6),IF(J6=6,IF(K6=3,MOD(F6+CHOOSE(L6+1,C6,D6,E6,F6),256),F6),IF(J6=7,IF(K6=3,MOD(F6-L6,256),F6),IF(J6=8,IF(K6=3,MOD(F6-CHOOSE(L6+1,C6,D6,E6,F6),256),F6),IF(J6=12,IF(K6=3,MOD(F6*(IF(L6&gt;=128,CHOOSE(L6-128+1,C6,D6,E6,F6),L6)),256),F6),IF(J6=14,IF(K6=3,_xlfn.BITAND(F6,(IF(L6&gt;=128,CHOOSE(L6-128+1,C6,D6,E6,F6),L6))),F6),IF(J6=16,IF(K6=3,_xlfn.BITOR(F6,(IF(L6&gt;=128,CHOOSE(L6-128+1,C6,D6,E6,F6),L6))),F6),IF(J6=17,IF(K6=3,_xlfn.BITXOR(F6,(IF(L6&gt;=128,CHOOSE(L6-128+1,C6,D6,E6,F6),L6))),F6),IF(J6=18,IF(3=1,QUOTIENT(C6,(IF(L6&gt;=128,CHOOSE(L6-128+1,C6,D6,E6,F6),L6))),IF(3=3,MOD(C6,(IF(L6&gt;=128,CHOOSE(L6-128+1,C6,D6,E6,F6),L6))),F6)),IF(J6=13,F6,F6)))))))))))))))</f>
        <v>0</v>
      </c>
      <c r="G7">
        <f t="shared" si="2"/>
        <v>0</v>
      </c>
      <c r="H7">
        <f t="shared" si="3"/>
        <v>0</v>
      </c>
      <c r="I7">
        <f t="shared" si="4"/>
        <v>0</v>
      </c>
      <c r="J7" cm="1">
        <f t="array" ref="J7">INDEX(PROGRAM!$E$2:$E$257, B7+1)</f>
        <v>15</v>
      </c>
      <c r="K7" cm="1">
        <f t="array" ref="K7">INDEX(PROGRAM!$F$2:$F$257, B7+1)</f>
        <v>0</v>
      </c>
      <c r="L7" cm="1">
        <f t="array" ref="L7">INDEX(PROGRAM!$G$2:$G$257, B7+1)</f>
        <v>0</v>
      </c>
      <c r="M7">
        <f t="shared" si="5"/>
        <v>1</v>
      </c>
      <c r="N7">
        <f t="shared" si="6"/>
        <v>0</v>
      </c>
      <c r="O7">
        <f t="shared" si="7"/>
        <v>10</v>
      </c>
      <c r="P7">
        <f t="shared" si="8"/>
        <v>15</v>
      </c>
      <c r="Q7">
        <f t="shared" si="9"/>
        <v>0</v>
      </c>
      <c r="R7">
        <f t="shared" si="10"/>
        <v>0</v>
      </c>
      <c r="S7">
        <f t="shared" si="11"/>
        <v>0</v>
      </c>
      <c r="T7">
        <f t="shared" si="12"/>
        <v>0</v>
      </c>
      <c r="U7">
        <f t="shared" si="13"/>
        <v>5</v>
      </c>
      <c r="V7">
        <f t="shared" si="14"/>
        <v>0</v>
      </c>
      <c r="W7">
        <f t="shared" si="15"/>
        <v>0</v>
      </c>
      <c r="X7">
        <f t="shared" si="16"/>
        <v>3</v>
      </c>
      <c r="Y7">
        <f t="shared" si="17"/>
        <v>0</v>
      </c>
      <c r="Z7">
        <f t="shared" si="18"/>
        <v>0</v>
      </c>
      <c r="AA7">
        <f t="shared" si="19"/>
        <v>0</v>
      </c>
      <c r="AB7">
        <f t="shared" si="20"/>
        <v>0</v>
      </c>
      <c r="AC7">
        <f t="shared" si="21"/>
        <v>0</v>
      </c>
    </row>
    <row r="8" spans="1:29" x14ac:dyDescent="0.2">
      <c r="A8">
        <f t="shared" si="0"/>
        <v>6</v>
      </c>
      <c r="B8">
        <f t="shared" si="1"/>
        <v>4</v>
      </c>
      <c r="C8" cm="1">
        <f t="array" ref="C8">IF(M7=1,C7,IF(J7=15,C7,IF(J7=1,IF(K7=0,L7,C7),IF(J7=2,IF(K7=0,INDEX(N7:AC7,1,L7+1),C7),IF(J7=4,IF(K7=0,CHOOSE(L7+1,C7,D7,E7,F7),C7),IF(J7=5,IF(K7=0,MOD(C7+L7,256),C7),IF(J7=6,IF(K7=0,MOD(C7+CHOOSE(L7+1,C7,D7,E7,F7),256),C7),IF(J7=7,IF(K7=0,MOD(C7-L7,256),C7),IF(J7=8,IF(K7=0,MOD(C7-CHOOSE(L7+1,C7,D7,E7,F7),256),C7),IF(J7=12,IF(K7=0,MOD(C7*(IF(L7&gt;=128,CHOOSE(L7-128+1,C7,D7,E7,F7),L7)),256),C7),IF(J7=14,IF(K7=0,_xlfn.BITAND(C7,(IF(L7&gt;=128,CHOOSE(L7-128+1,C7,D7,E7,F7),L7))),C7),IF(J7=16,IF(K7=0,_xlfn.BITOR(C7,(IF(L7&gt;=128,CHOOSE(L7-128+1,C7,D7,E7,F7),L7))),C7),IF(J7=17,IF(K7=0,_xlfn.BITXOR(C7,(IF(L7&gt;=128,CHOOSE(L7-128+1,C7,D7,E7,F7),L7))),C7),IF(J7=18,IF(0=1,QUOTIENT(C7,(IF(L7&gt;=128,CHOOSE(L7-128+1,C7,D7,E7,F7),L7))),IF(0=3,MOD(C7,(IF(L7&gt;=128,CHOOSE(L7-128+1,C7,D7,E7,F7),L7))),C7)),IF(J7=13,C7,C7)))))))))))))))</f>
        <v>10</v>
      </c>
      <c r="D8" cm="1">
        <f t="array" ref="D8">IF(M7=1,D7,IF(J7=15,D7,IF(J7=1,IF(K7=1,L7,D7),IF(J7=2,IF(K7=1,INDEX(N7:AC7,1,L7+1),D7),IF(J7=4,IF(K7=1,CHOOSE(L7+1,C7,D7,E7,F7),D7),IF(J7=5,IF(K7=1,MOD(D7+L7,256),D7),IF(J7=6,IF(K7=1,MOD(D7+CHOOSE(L7+1,C7,D7,E7,F7),256),D7),IF(J7=7,IF(K7=1,MOD(D7-L7,256),D7),IF(J7=8,IF(K7=1,MOD(D7-CHOOSE(L7+1,C7,D7,E7,F7),256),D7),IF(J7=12,IF(K7=1,MOD(D7*(IF(L7&gt;=128,CHOOSE(L7-128+1,C7,D7,E7,F7),L7)),256),D7),IF(J7=14,IF(K7=1,_xlfn.BITAND(D7,(IF(L7&gt;=128,CHOOSE(L7-128+1,C7,D7,E7,F7),L7))),D7),IF(J7=16,IF(K7=1,_xlfn.BITOR(D7,(IF(L7&gt;=128,CHOOSE(L7-128+1,C7,D7,E7,F7),L7))),D7),IF(J7=17,IF(K7=1,_xlfn.BITXOR(D7,(IF(L7&gt;=128,CHOOSE(L7-128+1,C7,D7,E7,F7),L7))),D7),IF(J7=18,IF(1=1,QUOTIENT(C7,(IF(L7&gt;=128,CHOOSE(L7-128+1,C7,D7,E7,F7),L7))),IF(1=3,MOD(C7,(IF(L7&gt;=128,CHOOSE(L7-128+1,C7,D7,E7,F7),L7))),D7)),IF(J7=13,D7,D7)))))))))))))))</f>
        <v>5</v>
      </c>
      <c r="E8" cm="1">
        <f t="array" ref="E8">IF(M7=1,E7,IF(J7=15,E7,IF(J7=1,IF(K7=2,L7,E7),IF(J7=2,IF(K7=2,INDEX(N7:AC7,1,L7+1),E7),IF(J7=4,IF(K7=2,CHOOSE(L7+1,C7,D7,E7,F7),E7),IF(J7=5,IF(K7=2,MOD(E7+L7,256),E7),IF(J7=6,IF(K7=2,MOD(E7+CHOOSE(L7+1,C7,D7,E7,F7),256),E7),IF(J7=7,IF(K7=2,MOD(E7-L7,256),E7),IF(J7=8,IF(K7=2,MOD(E7-CHOOSE(L7+1,C7,D7,E7,F7),256),E7),IF(J7=12,IF(K7=2,MOD(E7*(IF(L7&gt;=128,CHOOSE(L7-128+1,C7,D7,E7,F7),L7)),256),E7),IF(J7=14,IF(K7=2,_xlfn.BITAND(E7,(IF(L7&gt;=128,CHOOSE(L7-128+1,C7,D7,E7,F7),L7))),E7),IF(J7=16,IF(K7=2,_xlfn.BITOR(E7,(IF(L7&gt;=128,CHOOSE(L7-128+1,C7,D7,E7,F7),L7))),E7),IF(J7=17,IF(K7=2,_xlfn.BITXOR(E7,(IF(L7&gt;=128,CHOOSE(L7-128+1,C7,D7,E7,F7),L7))),E7),IF(J7=18,IF(2=1,QUOTIENT(C7,(IF(L7&gt;=128,CHOOSE(L7-128+1,C7,D7,E7,F7),L7))),IF(2=3,MOD(C7,(IF(L7&gt;=128,CHOOSE(L7-128+1,C7,D7,E7,F7),L7))),E7)),IF(J7=13,MOD(E7-1,256),E7)))))))))))))))</f>
        <v>0</v>
      </c>
      <c r="F8" cm="1">
        <f t="array" ref="F8">IF(M7=1,F7,IF(J7=15,F7,IF(J7=1,IF(K7=3,L7,F7),IF(J7=2,IF(K7=3,INDEX(N7:AC7,1,L7+1),F7),IF(J7=4,IF(K7=3,CHOOSE(L7+1,C7,D7,E7,F7),F7),IF(J7=5,IF(K7=3,MOD(F7+L7,256),F7),IF(J7=6,IF(K7=3,MOD(F7+CHOOSE(L7+1,C7,D7,E7,F7),256),F7),IF(J7=7,IF(K7=3,MOD(F7-L7,256),F7),IF(J7=8,IF(K7=3,MOD(F7-CHOOSE(L7+1,C7,D7,E7,F7),256),F7),IF(J7=12,IF(K7=3,MOD(F7*(IF(L7&gt;=128,CHOOSE(L7-128+1,C7,D7,E7,F7),L7)),256),F7),IF(J7=14,IF(K7=3,_xlfn.BITAND(F7,(IF(L7&gt;=128,CHOOSE(L7-128+1,C7,D7,E7,F7),L7))),F7),IF(J7=16,IF(K7=3,_xlfn.BITOR(F7,(IF(L7&gt;=128,CHOOSE(L7-128+1,C7,D7,E7,F7),L7))),F7),IF(J7=17,IF(K7=3,_xlfn.BITXOR(F7,(IF(L7&gt;=128,CHOOSE(L7-128+1,C7,D7,E7,F7),L7))),F7),IF(J7=18,IF(3=1,QUOTIENT(C7,(IF(L7&gt;=128,CHOOSE(L7-128+1,C7,D7,E7,F7),L7))),IF(3=3,MOD(C7,(IF(L7&gt;=128,CHOOSE(L7-128+1,C7,D7,E7,F7),L7))),F7)),IF(J7=13,F7,F7)))))))))))))))</f>
        <v>0</v>
      </c>
      <c r="G8">
        <f t="shared" si="2"/>
        <v>0</v>
      </c>
      <c r="H8">
        <f t="shared" si="3"/>
        <v>0</v>
      </c>
      <c r="I8">
        <f t="shared" si="4"/>
        <v>0</v>
      </c>
      <c r="J8" cm="1">
        <f t="array" ref="J8">INDEX(PROGRAM!$E$2:$E$257, B8+1)</f>
        <v>15</v>
      </c>
      <c r="K8" cm="1">
        <f t="array" ref="K8">INDEX(PROGRAM!$F$2:$F$257, B8+1)</f>
        <v>0</v>
      </c>
      <c r="L8" cm="1">
        <f t="array" ref="L8">INDEX(PROGRAM!$G$2:$G$257, B8+1)</f>
        <v>0</v>
      </c>
      <c r="M8">
        <f t="shared" si="5"/>
        <v>1</v>
      </c>
      <c r="N8">
        <f t="shared" si="6"/>
        <v>0</v>
      </c>
      <c r="O8">
        <f t="shared" si="7"/>
        <v>10</v>
      </c>
      <c r="P8">
        <f t="shared" si="8"/>
        <v>15</v>
      </c>
      <c r="Q8">
        <f t="shared" si="9"/>
        <v>0</v>
      </c>
      <c r="R8">
        <f t="shared" si="10"/>
        <v>0</v>
      </c>
      <c r="S8">
        <f t="shared" si="11"/>
        <v>0</v>
      </c>
      <c r="T8">
        <f t="shared" si="12"/>
        <v>0</v>
      </c>
      <c r="U8">
        <f t="shared" si="13"/>
        <v>5</v>
      </c>
      <c r="V8">
        <f t="shared" si="14"/>
        <v>0</v>
      </c>
      <c r="W8">
        <f t="shared" si="15"/>
        <v>0</v>
      </c>
      <c r="X8">
        <f t="shared" si="16"/>
        <v>3</v>
      </c>
      <c r="Y8">
        <f t="shared" si="17"/>
        <v>0</v>
      </c>
      <c r="Z8">
        <f t="shared" si="18"/>
        <v>0</v>
      </c>
      <c r="AA8">
        <f t="shared" si="19"/>
        <v>0</v>
      </c>
      <c r="AB8">
        <f t="shared" si="20"/>
        <v>0</v>
      </c>
      <c r="AC8">
        <f t="shared" si="21"/>
        <v>0</v>
      </c>
    </row>
    <row r="9" spans="1:29" x14ac:dyDescent="0.2">
      <c r="A9">
        <f t="shared" si="0"/>
        <v>7</v>
      </c>
      <c r="B9">
        <f t="shared" si="1"/>
        <v>4</v>
      </c>
      <c r="C9" cm="1">
        <f t="array" ref="C9">IF(M8=1,C8,IF(J8=15,C8,IF(J8=1,IF(K8=0,L8,C8),IF(J8=2,IF(K8=0,INDEX(N8:AC8,1,L8+1),C8),IF(J8=4,IF(K8=0,CHOOSE(L8+1,C8,D8,E8,F8),C8),IF(J8=5,IF(K8=0,MOD(C8+L8,256),C8),IF(J8=6,IF(K8=0,MOD(C8+CHOOSE(L8+1,C8,D8,E8,F8),256),C8),IF(J8=7,IF(K8=0,MOD(C8-L8,256),C8),IF(J8=8,IF(K8=0,MOD(C8-CHOOSE(L8+1,C8,D8,E8,F8),256),C8),IF(J8=12,IF(K8=0,MOD(C8*(IF(L8&gt;=128,CHOOSE(L8-128+1,C8,D8,E8,F8),L8)),256),C8),IF(J8=14,IF(K8=0,_xlfn.BITAND(C8,(IF(L8&gt;=128,CHOOSE(L8-128+1,C8,D8,E8,F8),L8))),C8),IF(J8=16,IF(K8=0,_xlfn.BITOR(C8,(IF(L8&gt;=128,CHOOSE(L8-128+1,C8,D8,E8,F8),L8))),C8),IF(J8=17,IF(K8=0,_xlfn.BITXOR(C8,(IF(L8&gt;=128,CHOOSE(L8-128+1,C8,D8,E8,F8),L8))),C8),IF(J8=18,IF(0=1,QUOTIENT(C8,(IF(L8&gt;=128,CHOOSE(L8-128+1,C8,D8,E8,F8),L8))),IF(0=3,MOD(C8,(IF(L8&gt;=128,CHOOSE(L8-128+1,C8,D8,E8,F8),L8))),C8)),IF(J8=13,C8,C8)))))))))))))))</f>
        <v>10</v>
      </c>
      <c r="D9" cm="1">
        <f t="array" ref="D9">IF(M8=1,D8,IF(J8=15,D8,IF(J8=1,IF(K8=1,L8,D8),IF(J8=2,IF(K8=1,INDEX(N8:AC8,1,L8+1),D8),IF(J8=4,IF(K8=1,CHOOSE(L8+1,C8,D8,E8,F8),D8),IF(J8=5,IF(K8=1,MOD(D8+L8,256),D8),IF(J8=6,IF(K8=1,MOD(D8+CHOOSE(L8+1,C8,D8,E8,F8),256),D8),IF(J8=7,IF(K8=1,MOD(D8-L8,256),D8),IF(J8=8,IF(K8=1,MOD(D8-CHOOSE(L8+1,C8,D8,E8,F8),256),D8),IF(J8=12,IF(K8=1,MOD(D8*(IF(L8&gt;=128,CHOOSE(L8-128+1,C8,D8,E8,F8),L8)),256),D8),IF(J8=14,IF(K8=1,_xlfn.BITAND(D8,(IF(L8&gt;=128,CHOOSE(L8-128+1,C8,D8,E8,F8),L8))),D8),IF(J8=16,IF(K8=1,_xlfn.BITOR(D8,(IF(L8&gt;=128,CHOOSE(L8-128+1,C8,D8,E8,F8),L8))),D8),IF(J8=17,IF(K8=1,_xlfn.BITXOR(D8,(IF(L8&gt;=128,CHOOSE(L8-128+1,C8,D8,E8,F8),L8))),D8),IF(J8=18,IF(1=1,QUOTIENT(C8,(IF(L8&gt;=128,CHOOSE(L8-128+1,C8,D8,E8,F8),L8))),IF(1=3,MOD(C8,(IF(L8&gt;=128,CHOOSE(L8-128+1,C8,D8,E8,F8),L8))),D8)),IF(J8=13,D8,D8)))))))))))))))</f>
        <v>5</v>
      </c>
      <c r="E9" cm="1">
        <f t="array" ref="E9">IF(M8=1,E8,IF(J8=15,E8,IF(J8=1,IF(K8=2,L8,E8),IF(J8=2,IF(K8=2,INDEX(N8:AC8,1,L8+1),E8),IF(J8=4,IF(K8=2,CHOOSE(L8+1,C8,D8,E8,F8),E8),IF(J8=5,IF(K8=2,MOD(E8+L8,256),E8),IF(J8=6,IF(K8=2,MOD(E8+CHOOSE(L8+1,C8,D8,E8,F8),256),E8),IF(J8=7,IF(K8=2,MOD(E8-L8,256),E8),IF(J8=8,IF(K8=2,MOD(E8-CHOOSE(L8+1,C8,D8,E8,F8),256),E8),IF(J8=12,IF(K8=2,MOD(E8*(IF(L8&gt;=128,CHOOSE(L8-128+1,C8,D8,E8,F8),L8)),256),E8),IF(J8=14,IF(K8=2,_xlfn.BITAND(E8,(IF(L8&gt;=128,CHOOSE(L8-128+1,C8,D8,E8,F8),L8))),E8),IF(J8=16,IF(K8=2,_xlfn.BITOR(E8,(IF(L8&gt;=128,CHOOSE(L8-128+1,C8,D8,E8,F8),L8))),E8),IF(J8=17,IF(K8=2,_xlfn.BITXOR(E8,(IF(L8&gt;=128,CHOOSE(L8-128+1,C8,D8,E8,F8),L8))),E8),IF(J8=18,IF(2=1,QUOTIENT(C8,(IF(L8&gt;=128,CHOOSE(L8-128+1,C8,D8,E8,F8),L8))),IF(2=3,MOD(C8,(IF(L8&gt;=128,CHOOSE(L8-128+1,C8,D8,E8,F8),L8))),E8)),IF(J8=13,MOD(E8-1,256),E8)))))))))))))))</f>
        <v>0</v>
      </c>
      <c r="F9" cm="1">
        <f t="array" ref="F9">IF(M8=1,F8,IF(J8=15,F8,IF(J8=1,IF(K8=3,L8,F8),IF(J8=2,IF(K8=3,INDEX(N8:AC8,1,L8+1),F8),IF(J8=4,IF(K8=3,CHOOSE(L8+1,C8,D8,E8,F8),F8),IF(J8=5,IF(K8=3,MOD(F8+L8,256),F8),IF(J8=6,IF(K8=3,MOD(F8+CHOOSE(L8+1,C8,D8,E8,F8),256),F8),IF(J8=7,IF(K8=3,MOD(F8-L8,256),F8),IF(J8=8,IF(K8=3,MOD(F8-CHOOSE(L8+1,C8,D8,E8,F8),256),F8),IF(J8=12,IF(K8=3,MOD(F8*(IF(L8&gt;=128,CHOOSE(L8-128+1,C8,D8,E8,F8),L8)),256),F8),IF(J8=14,IF(K8=3,_xlfn.BITAND(F8,(IF(L8&gt;=128,CHOOSE(L8-128+1,C8,D8,E8,F8),L8))),F8),IF(J8=16,IF(K8=3,_xlfn.BITOR(F8,(IF(L8&gt;=128,CHOOSE(L8-128+1,C8,D8,E8,F8),L8))),F8),IF(J8=17,IF(K8=3,_xlfn.BITXOR(F8,(IF(L8&gt;=128,CHOOSE(L8-128+1,C8,D8,E8,F8),L8))),F8),IF(J8=18,IF(3=1,QUOTIENT(C8,(IF(L8&gt;=128,CHOOSE(L8-128+1,C8,D8,E8,F8),L8))),IF(3=3,MOD(C8,(IF(L8&gt;=128,CHOOSE(L8-128+1,C8,D8,E8,F8),L8))),F8)),IF(J8=13,F8,F8)))))))))))))))</f>
        <v>0</v>
      </c>
      <c r="G9">
        <f t="shared" si="2"/>
        <v>0</v>
      </c>
      <c r="H9">
        <f t="shared" si="3"/>
        <v>0</v>
      </c>
      <c r="I9">
        <f t="shared" si="4"/>
        <v>0</v>
      </c>
      <c r="J9" cm="1">
        <f t="array" ref="J9">INDEX(PROGRAM!$E$2:$E$257, B9+1)</f>
        <v>15</v>
      </c>
      <c r="K9" cm="1">
        <f t="array" ref="K9">INDEX(PROGRAM!$F$2:$F$257, B9+1)</f>
        <v>0</v>
      </c>
      <c r="L9" cm="1">
        <f t="array" ref="L9">INDEX(PROGRAM!$G$2:$G$257, B9+1)</f>
        <v>0</v>
      </c>
      <c r="M9">
        <f t="shared" si="5"/>
        <v>1</v>
      </c>
      <c r="N9">
        <f t="shared" si="6"/>
        <v>0</v>
      </c>
      <c r="O9">
        <f t="shared" si="7"/>
        <v>10</v>
      </c>
      <c r="P9">
        <f t="shared" si="8"/>
        <v>15</v>
      </c>
      <c r="Q9">
        <f t="shared" si="9"/>
        <v>0</v>
      </c>
      <c r="R9">
        <f t="shared" si="10"/>
        <v>0</v>
      </c>
      <c r="S9">
        <f t="shared" si="11"/>
        <v>0</v>
      </c>
      <c r="T9">
        <f t="shared" si="12"/>
        <v>0</v>
      </c>
      <c r="U9">
        <f t="shared" si="13"/>
        <v>5</v>
      </c>
      <c r="V9">
        <f t="shared" si="14"/>
        <v>0</v>
      </c>
      <c r="W9">
        <f t="shared" si="15"/>
        <v>0</v>
      </c>
      <c r="X9">
        <f t="shared" si="16"/>
        <v>3</v>
      </c>
      <c r="Y9">
        <f t="shared" si="17"/>
        <v>0</v>
      </c>
      <c r="Z9">
        <f t="shared" si="18"/>
        <v>0</v>
      </c>
      <c r="AA9">
        <f t="shared" si="19"/>
        <v>0</v>
      </c>
      <c r="AB9">
        <f t="shared" si="20"/>
        <v>0</v>
      </c>
      <c r="AC9">
        <f t="shared" si="21"/>
        <v>0</v>
      </c>
    </row>
    <row r="10" spans="1:29" x14ac:dyDescent="0.2">
      <c r="A10">
        <f t="shared" si="0"/>
        <v>8</v>
      </c>
      <c r="B10">
        <f t="shared" si="1"/>
        <v>4</v>
      </c>
      <c r="C10" cm="1">
        <f t="array" ref="C10">IF(M9=1,C9,IF(J9=15,C9,IF(J9=1,IF(K9=0,L9,C9),IF(J9=2,IF(K9=0,INDEX(N9:AC9,1,L9+1),C9),IF(J9=4,IF(K9=0,CHOOSE(L9+1,C9,D9,E9,F9),C9),IF(J9=5,IF(K9=0,MOD(C9+L9,256),C9),IF(J9=6,IF(K9=0,MOD(C9+CHOOSE(L9+1,C9,D9,E9,F9),256),C9),IF(J9=7,IF(K9=0,MOD(C9-L9,256),C9),IF(J9=8,IF(K9=0,MOD(C9-CHOOSE(L9+1,C9,D9,E9,F9),256),C9),IF(J9=12,IF(K9=0,MOD(C9*(IF(L9&gt;=128,CHOOSE(L9-128+1,C9,D9,E9,F9),L9)),256),C9),IF(J9=14,IF(K9=0,_xlfn.BITAND(C9,(IF(L9&gt;=128,CHOOSE(L9-128+1,C9,D9,E9,F9),L9))),C9),IF(J9=16,IF(K9=0,_xlfn.BITOR(C9,(IF(L9&gt;=128,CHOOSE(L9-128+1,C9,D9,E9,F9),L9))),C9),IF(J9=17,IF(K9=0,_xlfn.BITXOR(C9,(IF(L9&gt;=128,CHOOSE(L9-128+1,C9,D9,E9,F9),L9))),C9),IF(J9=18,IF(0=1,QUOTIENT(C9,(IF(L9&gt;=128,CHOOSE(L9-128+1,C9,D9,E9,F9),L9))),IF(0=3,MOD(C9,(IF(L9&gt;=128,CHOOSE(L9-128+1,C9,D9,E9,F9),L9))),C9)),IF(J9=13,C9,C9)))))))))))))))</f>
        <v>10</v>
      </c>
      <c r="D10" cm="1">
        <f t="array" ref="D10">IF(M9=1,D9,IF(J9=15,D9,IF(J9=1,IF(K9=1,L9,D9),IF(J9=2,IF(K9=1,INDEX(N9:AC9,1,L9+1),D9),IF(J9=4,IF(K9=1,CHOOSE(L9+1,C9,D9,E9,F9),D9),IF(J9=5,IF(K9=1,MOD(D9+L9,256),D9),IF(J9=6,IF(K9=1,MOD(D9+CHOOSE(L9+1,C9,D9,E9,F9),256),D9),IF(J9=7,IF(K9=1,MOD(D9-L9,256),D9),IF(J9=8,IF(K9=1,MOD(D9-CHOOSE(L9+1,C9,D9,E9,F9),256),D9),IF(J9=12,IF(K9=1,MOD(D9*(IF(L9&gt;=128,CHOOSE(L9-128+1,C9,D9,E9,F9),L9)),256),D9),IF(J9=14,IF(K9=1,_xlfn.BITAND(D9,(IF(L9&gt;=128,CHOOSE(L9-128+1,C9,D9,E9,F9),L9))),D9),IF(J9=16,IF(K9=1,_xlfn.BITOR(D9,(IF(L9&gt;=128,CHOOSE(L9-128+1,C9,D9,E9,F9),L9))),D9),IF(J9=17,IF(K9=1,_xlfn.BITXOR(D9,(IF(L9&gt;=128,CHOOSE(L9-128+1,C9,D9,E9,F9),L9))),D9),IF(J9=18,IF(1=1,QUOTIENT(C9,(IF(L9&gt;=128,CHOOSE(L9-128+1,C9,D9,E9,F9),L9))),IF(1=3,MOD(C9,(IF(L9&gt;=128,CHOOSE(L9-128+1,C9,D9,E9,F9),L9))),D9)),IF(J9=13,D9,D9)))))))))))))))</f>
        <v>5</v>
      </c>
      <c r="E10" cm="1">
        <f t="array" ref="E10">IF(M9=1,E9,IF(J9=15,E9,IF(J9=1,IF(K9=2,L9,E9),IF(J9=2,IF(K9=2,INDEX(N9:AC9,1,L9+1),E9),IF(J9=4,IF(K9=2,CHOOSE(L9+1,C9,D9,E9,F9),E9),IF(J9=5,IF(K9=2,MOD(E9+L9,256),E9),IF(J9=6,IF(K9=2,MOD(E9+CHOOSE(L9+1,C9,D9,E9,F9),256),E9),IF(J9=7,IF(K9=2,MOD(E9-L9,256),E9),IF(J9=8,IF(K9=2,MOD(E9-CHOOSE(L9+1,C9,D9,E9,F9),256),E9),IF(J9=12,IF(K9=2,MOD(E9*(IF(L9&gt;=128,CHOOSE(L9-128+1,C9,D9,E9,F9),L9)),256),E9),IF(J9=14,IF(K9=2,_xlfn.BITAND(E9,(IF(L9&gt;=128,CHOOSE(L9-128+1,C9,D9,E9,F9),L9))),E9),IF(J9=16,IF(K9=2,_xlfn.BITOR(E9,(IF(L9&gt;=128,CHOOSE(L9-128+1,C9,D9,E9,F9),L9))),E9),IF(J9=17,IF(K9=2,_xlfn.BITXOR(E9,(IF(L9&gt;=128,CHOOSE(L9-128+1,C9,D9,E9,F9),L9))),E9),IF(J9=18,IF(2=1,QUOTIENT(C9,(IF(L9&gt;=128,CHOOSE(L9-128+1,C9,D9,E9,F9),L9))),IF(2=3,MOD(C9,(IF(L9&gt;=128,CHOOSE(L9-128+1,C9,D9,E9,F9),L9))),E9)),IF(J9=13,MOD(E9-1,256),E9)))))))))))))))</f>
        <v>0</v>
      </c>
      <c r="F10" cm="1">
        <f t="array" ref="F10">IF(M9=1,F9,IF(J9=15,F9,IF(J9=1,IF(K9=3,L9,F9),IF(J9=2,IF(K9=3,INDEX(N9:AC9,1,L9+1),F9),IF(J9=4,IF(K9=3,CHOOSE(L9+1,C9,D9,E9,F9),F9),IF(J9=5,IF(K9=3,MOD(F9+L9,256),F9),IF(J9=6,IF(K9=3,MOD(F9+CHOOSE(L9+1,C9,D9,E9,F9),256),F9),IF(J9=7,IF(K9=3,MOD(F9-L9,256),F9),IF(J9=8,IF(K9=3,MOD(F9-CHOOSE(L9+1,C9,D9,E9,F9),256),F9),IF(J9=12,IF(K9=3,MOD(F9*(IF(L9&gt;=128,CHOOSE(L9-128+1,C9,D9,E9,F9),L9)),256),F9),IF(J9=14,IF(K9=3,_xlfn.BITAND(F9,(IF(L9&gt;=128,CHOOSE(L9-128+1,C9,D9,E9,F9),L9))),F9),IF(J9=16,IF(K9=3,_xlfn.BITOR(F9,(IF(L9&gt;=128,CHOOSE(L9-128+1,C9,D9,E9,F9),L9))),F9),IF(J9=17,IF(K9=3,_xlfn.BITXOR(F9,(IF(L9&gt;=128,CHOOSE(L9-128+1,C9,D9,E9,F9),L9))),F9),IF(J9=18,IF(3=1,QUOTIENT(C9,(IF(L9&gt;=128,CHOOSE(L9-128+1,C9,D9,E9,F9),L9))),IF(3=3,MOD(C9,(IF(L9&gt;=128,CHOOSE(L9-128+1,C9,D9,E9,F9),L9))),F9)),IF(J9=13,F9,F9)))))))))))))))</f>
        <v>0</v>
      </c>
      <c r="G10">
        <f t="shared" si="2"/>
        <v>0</v>
      </c>
      <c r="H10">
        <f t="shared" si="3"/>
        <v>0</v>
      </c>
      <c r="I10">
        <f t="shared" si="4"/>
        <v>0</v>
      </c>
      <c r="J10" cm="1">
        <f t="array" ref="J10">INDEX(PROGRAM!$E$2:$E$257, B10+1)</f>
        <v>15</v>
      </c>
      <c r="K10" cm="1">
        <f t="array" ref="K10">INDEX(PROGRAM!$F$2:$F$257, B10+1)</f>
        <v>0</v>
      </c>
      <c r="L10" cm="1">
        <f t="array" ref="L10">INDEX(PROGRAM!$G$2:$G$257, B10+1)</f>
        <v>0</v>
      </c>
      <c r="M10">
        <f t="shared" si="5"/>
        <v>1</v>
      </c>
      <c r="N10">
        <f t="shared" si="6"/>
        <v>0</v>
      </c>
      <c r="O10">
        <f t="shared" si="7"/>
        <v>10</v>
      </c>
      <c r="P10">
        <f t="shared" si="8"/>
        <v>15</v>
      </c>
      <c r="Q10">
        <f t="shared" si="9"/>
        <v>0</v>
      </c>
      <c r="R10">
        <f t="shared" si="10"/>
        <v>0</v>
      </c>
      <c r="S10">
        <f t="shared" si="11"/>
        <v>0</v>
      </c>
      <c r="T10">
        <f t="shared" si="12"/>
        <v>0</v>
      </c>
      <c r="U10">
        <f t="shared" si="13"/>
        <v>5</v>
      </c>
      <c r="V10">
        <f t="shared" si="14"/>
        <v>0</v>
      </c>
      <c r="W10">
        <f t="shared" si="15"/>
        <v>0</v>
      </c>
      <c r="X10">
        <f t="shared" si="16"/>
        <v>3</v>
      </c>
      <c r="Y10">
        <f t="shared" si="17"/>
        <v>0</v>
      </c>
      <c r="Z10">
        <f t="shared" si="18"/>
        <v>0</v>
      </c>
      <c r="AA10">
        <f t="shared" si="19"/>
        <v>0</v>
      </c>
      <c r="AB10">
        <f t="shared" si="20"/>
        <v>0</v>
      </c>
      <c r="AC10">
        <f t="shared" si="21"/>
        <v>0</v>
      </c>
    </row>
    <row r="11" spans="1:29" x14ac:dyDescent="0.2">
      <c r="A11">
        <f t="shared" si="0"/>
        <v>9</v>
      </c>
      <c r="B11">
        <f t="shared" si="1"/>
        <v>4</v>
      </c>
      <c r="C11" cm="1">
        <f t="array" ref="C11">IF(M10=1,C10,IF(J10=15,C10,IF(J10=1,IF(K10=0,L10,C10),IF(J10=2,IF(K10=0,INDEX(N10:AC10,1,L10+1),C10),IF(J10=4,IF(K10=0,CHOOSE(L10+1,C10,D10,E10,F10),C10),IF(J10=5,IF(K10=0,MOD(C10+L10,256),C10),IF(J10=6,IF(K10=0,MOD(C10+CHOOSE(L10+1,C10,D10,E10,F10),256),C10),IF(J10=7,IF(K10=0,MOD(C10-L10,256),C10),IF(J10=8,IF(K10=0,MOD(C10-CHOOSE(L10+1,C10,D10,E10,F10),256),C10),IF(J10=12,IF(K10=0,MOD(C10*(IF(L10&gt;=128,CHOOSE(L10-128+1,C10,D10,E10,F10),L10)),256),C10),IF(J10=14,IF(K10=0,_xlfn.BITAND(C10,(IF(L10&gt;=128,CHOOSE(L10-128+1,C10,D10,E10,F10),L10))),C10),IF(J10=16,IF(K10=0,_xlfn.BITOR(C10,(IF(L10&gt;=128,CHOOSE(L10-128+1,C10,D10,E10,F10),L10))),C10),IF(J10=17,IF(K10=0,_xlfn.BITXOR(C10,(IF(L10&gt;=128,CHOOSE(L10-128+1,C10,D10,E10,F10),L10))),C10),IF(J10=18,IF(0=1,QUOTIENT(C10,(IF(L10&gt;=128,CHOOSE(L10-128+1,C10,D10,E10,F10),L10))),IF(0=3,MOD(C10,(IF(L10&gt;=128,CHOOSE(L10-128+1,C10,D10,E10,F10),L10))),C10)),IF(J10=13,C10,C10)))))))))))))))</f>
        <v>10</v>
      </c>
      <c r="D11" cm="1">
        <f t="array" ref="D11">IF(M10=1,D10,IF(J10=15,D10,IF(J10=1,IF(K10=1,L10,D10),IF(J10=2,IF(K10=1,INDEX(N10:AC10,1,L10+1),D10),IF(J10=4,IF(K10=1,CHOOSE(L10+1,C10,D10,E10,F10),D10),IF(J10=5,IF(K10=1,MOD(D10+L10,256),D10),IF(J10=6,IF(K10=1,MOD(D10+CHOOSE(L10+1,C10,D10,E10,F10),256),D10),IF(J10=7,IF(K10=1,MOD(D10-L10,256),D10),IF(J10=8,IF(K10=1,MOD(D10-CHOOSE(L10+1,C10,D10,E10,F10),256),D10),IF(J10=12,IF(K10=1,MOD(D10*(IF(L10&gt;=128,CHOOSE(L10-128+1,C10,D10,E10,F10),L10)),256),D10),IF(J10=14,IF(K10=1,_xlfn.BITAND(D10,(IF(L10&gt;=128,CHOOSE(L10-128+1,C10,D10,E10,F10),L10))),D10),IF(J10=16,IF(K10=1,_xlfn.BITOR(D10,(IF(L10&gt;=128,CHOOSE(L10-128+1,C10,D10,E10,F10),L10))),D10),IF(J10=17,IF(K10=1,_xlfn.BITXOR(D10,(IF(L10&gt;=128,CHOOSE(L10-128+1,C10,D10,E10,F10),L10))),D10),IF(J10=18,IF(1=1,QUOTIENT(C10,(IF(L10&gt;=128,CHOOSE(L10-128+1,C10,D10,E10,F10),L10))),IF(1=3,MOD(C10,(IF(L10&gt;=128,CHOOSE(L10-128+1,C10,D10,E10,F10),L10))),D10)),IF(J10=13,D10,D10)))))))))))))))</f>
        <v>5</v>
      </c>
      <c r="E11" cm="1">
        <f t="array" ref="E11">IF(M10=1,E10,IF(J10=15,E10,IF(J10=1,IF(K10=2,L10,E10),IF(J10=2,IF(K10=2,INDEX(N10:AC10,1,L10+1),E10),IF(J10=4,IF(K10=2,CHOOSE(L10+1,C10,D10,E10,F10),E10),IF(J10=5,IF(K10=2,MOD(E10+L10,256),E10),IF(J10=6,IF(K10=2,MOD(E10+CHOOSE(L10+1,C10,D10,E10,F10),256),E10),IF(J10=7,IF(K10=2,MOD(E10-L10,256),E10),IF(J10=8,IF(K10=2,MOD(E10-CHOOSE(L10+1,C10,D10,E10,F10),256),E10),IF(J10=12,IF(K10=2,MOD(E10*(IF(L10&gt;=128,CHOOSE(L10-128+1,C10,D10,E10,F10),L10)),256),E10),IF(J10=14,IF(K10=2,_xlfn.BITAND(E10,(IF(L10&gt;=128,CHOOSE(L10-128+1,C10,D10,E10,F10),L10))),E10),IF(J10=16,IF(K10=2,_xlfn.BITOR(E10,(IF(L10&gt;=128,CHOOSE(L10-128+1,C10,D10,E10,F10),L10))),E10),IF(J10=17,IF(K10=2,_xlfn.BITXOR(E10,(IF(L10&gt;=128,CHOOSE(L10-128+1,C10,D10,E10,F10),L10))),E10),IF(J10=18,IF(2=1,QUOTIENT(C10,(IF(L10&gt;=128,CHOOSE(L10-128+1,C10,D10,E10,F10),L10))),IF(2=3,MOD(C10,(IF(L10&gt;=128,CHOOSE(L10-128+1,C10,D10,E10,F10),L10))),E10)),IF(J10=13,MOD(E10-1,256),E10)))))))))))))))</f>
        <v>0</v>
      </c>
      <c r="F11" cm="1">
        <f t="array" ref="F11">IF(M10=1,F10,IF(J10=15,F10,IF(J10=1,IF(K10=3,L10,F10),IF(J10=2,IF(K10=3,INDEX(N10:AC10,1,L10+1),F10),IF(J10=4,IF(K10=3,CHOOSE(L10+1,C10,D10,E10,F10),F10),IF(J10=5,IF(K10=3,MOD(F10+L10,256),F10),IF(J10=6,IF(K10=3,MOD(F10+CHOOSE(L10+1,C10,D10,E10,F10),256),F10),IF(J10=7,IF(K10=3,MOD(F10-L10,256),F10),IF(J10=8,IF(K10=3,MOD(F10-CHOOSE(L10+1,C10,D10,E10,F10),256),F10),IF(J10=12,IF(K10=3,MOD(F10*(IF(L10&gt;=128,CHOOSE(L10-128+1,C10,D10,E10,F10),L10)),256),F10),IF(J10=14,IF(K10=3,_xlfn.BITAND(F10,(IF(L10&gt;=128,CHOOSE(L10-128+1,C10,D10,E10,F10),L10))),F10),IF(J10=16,IF(K10=3,_xlfn.BITOR(F10,(IF(L10&gt;=128,CHOOSE(L10-128+1,C10,D10,E10,F10),L10))),F10),IF(J10=17,IF(K10=3,_xlfn.BITXOR(F10,(IF(L10&gt;=128,CHOOSE(L10-128+1,C10,D10,E10,F10),L10))),F10),IF(J10=18,IF(3=1,QUOTIENT(C10,(IF(L10&gt;=128,CHOOSE(L10-128+1,C10,D10,E10,F10),L10))),IF(3=3,MOD(C10,(IF(L10&gt;=128,CHOOSE(L10-128+1,C10,D10,E10,F10),L10))),F10)),IF(J10=13,F10,F10)))))))))))))))</f>
        <v>0</v>
      </c>
      <c r="G11">
        <f t="shared" si="2"/>
        <v>0</v>
      </c>
      <c r="H11">
        <f t="shared" si="3"/>
        <v>0</v>
      </c>
      <c r="I11">
        <f t="shared" si="4"/>
        <v>0</v>
      </c>
      <c r="J11" cm="1">
        <f t="array" ref="J11">INDEX(PROGRAM!$E$2:$E$257, B11+1)</f>
        <v>15</v>
      </c>
      <c r="K11" cm="1">
        <f t="array" ref="K11">INDEX(PROGRAM!$F$2:$F$257, B11+1)</f>
        <v>0</v>
      </c>
      <c r="L11" cm="1">
        <f t="array" ref="L11">INDEX(PROGRAM!$G$2:$G$257, B11+1)</f>
        <v>0</v>
      </c>
      <c r="M11">
        <f t="shared" si="5"/>
        <v>1</v>
      </c>
      <c r="N11">
        <f t="shared" si="6"/>
        <v>0</v>
      </c>
      <c r="O11">
        <f t="shared" si="7"/>
        <v>10</v>
      </c>
      <c r="P11">
        <f t="shared" si="8"/>
        <v>15</v>
      </c>
      <c r="Q11">
        <f t="shared" si="9"/>
        <v>0</v>
      </c>
      <c r="R11">
        <f t="shared" si="10"/>
        <v>0</v>
      </c>
      <c r="S11">
        <f t="shared" si="11"/>
        <v>0</v>
      </c>
      <c r="T11">
        <f t="shared" si="12"/>
        <v>0</v>
      </c>
      <c r="U11">
        <f t="shared" si="13"/>
        <v>5</v>
      </c>
      <c r="V11">
        <f t="shared" si="14"/>
        <v>0</v>
      </c>
      <c r="W11">
        <f t="shared" si="15"/>
        <v>0</v>
      </c>
      <c r="X11">
        <f t="shared" si="16"/>
        <v>3</v>
      </c>
      <c r="Y11">
        <f t="shared" si="17"/>
        <v>0</v>
      </c>
      <c r="Z11">
        <f t="shared" si="18"/>
        <v>0</v>
      </c>
      <c r="AA11">
        <f t="shared" si="19"/>
        <v>0</v>
      </c>
      <c r="AB11">
        <f t="shared" si="20"/>
        <v>0</v>
      </c>
      <c r="AC11">
        <f t="shared" si="21"/>
        <v>0</v>
      </c>
    </row>
    <row r="12" spans="1:29" x14ac:dyDescent="0.2">
      <c r="A12">
        <f t="shared" si="0"/>
        <v>10</v>
      </c>
      <c r="B12">
        <f t="shared" si="1"/>
        <v>4</v>
      </c>
      <c r="C12" cm="1">
        <f t="array" ref="C12">IF(M11=1,C11,IF(J11=15,C11,IF(J11=1,IF(K11=0,L11,C11),IF(J11=2,IF(K11=0,INDEX(N11:AC11,1,L11+1),C11),IF(J11=4,IF(K11=0,CHOOSE(L11+1,C11,D11,E11,F11),C11),IF(J11=5,IF(K11=0,MOD(C11+L11,256),C11),IF(J11=6,IF(K11=0,MOD(C11+CHOOSE(L11+1,C11,D11,E11,F11),256),C11),IF(J11=7,IF(K11=0,MOD(C11-L11,256),C11),IF(J11=8,IF(K11=0,MOD(C11-CHOOSE(L11+1,C11,D11,E11,F11),256),C11),IF(J11=12,IF(K11=0,MOD(C11*(IF(L11&gt;=128,CHOOSE(L11-128+1,C11,D11,E11,F11),L11)),256),C11),IF(J11=14,IF(K11=0,_xlfn.BITAND(C11,(IF(L11&gt;=128,CHOOSE(L11-128+1,C11,D11,E11,F11),L11))),C11),IF(J11=16,IF(K11=0,_xlfn.BITOR(C11,(IF(L11&gt;=128,CHOOSE(L11-128+1,C11,D11,E11,F11),L11))),C11),IF(J11=17,IF(K11=0,_xlfn.BITXOR(C11,(IF(L11&gt;=128,CHOOSE(L11-128+1,C11,D11,E11,F11),L11))),C11),IF(J11=18,IF(0=1,QUOTIENT(C11,(IF(L11&gt;=128,CHOOSE(L11-128+1,C11,D11,E11,F11),L11))),IF(0=3,MOD(C11,(IF(L11&gt;=128,CHOOSE(L11-128+1,C11,D11,E11,F11),L11))),C11)),IF(J11=13,C11,C11)))))))))))))))</f>
        <v>10</v>
      </c>
      <c r="D12" cm="1">
        <f t="array" ref="D12">IF(M11=1,D11,IF(J11=15,D11,IF(J11=1,IF(K11=1,L11,D11),IF(J11=2,IF(K11=1,INDEX(N11:AC11,1,L11+1),D11),IF(J11=4,IF(K11=1,CHOOSE(L11+1,C11,D11,E11,F11),D11),IF(J11=5,IF(K11=1,MOD(D11+L11,256),D11),IF(J11=6,IF(K11=1,MOD(D11+CHOOSE(L11+1,C11,D11,E11,F11),256),D11),IF(J11=7,IF(K11=1,MOD(D11-L11,256),D11),IF(J11=8,IF(K11=1,MOD(D11-CHOOSE(L11+1,C11,D11,E11,F11),256),D11),IF(J11=12,IF(K11=1,MOD(D11*(IF(L11&gt;=128,CHOOSE(L11-128+1,C11,D11,E11,F11),L11)),256),D11),IF(J11=14,IF(K11=1,_xlfn.BITAND(D11,(IF(L11&gt;=128,CHOOSE(L11-128+1,C11,D11,E11,F11),L11))),D11),IF(J11=16,IF(K11=1,_xlfn.BITOR(D11,(IF(L11&gt;=128,CHOOSE(L11-128+1,C11,D11,E11,F11),L11))),D11),IF(J11=17,IF(K11=1,_xlfn.BITXOR(D11,(IF(L11&gt;=128,CHOOSE(L11-128+1,C11,D11,E11,F11),L11))),D11),IF(J11=18,IF(1=1,QUOTIENT(C11,(IF(L11&gt;=128,CHOOSE(L11-128+1,C11,D11,E11,F11),L11))),IF(1=3,MOD(C11,(IF(L11&gt;=128,CHOOSE(L11-128+1,C11,D11,E11,F11),L11))),D11)),IF(J11=13,D11,D11)))))))))))))))</f>
        <v>5</v>
      </c>
      <c r="E12" cm="1">
        <f t="array" ref="E12">IF(M11=1,E11,IF(J11=15,E11,IF(J11=1,IF(K11=2,L11,E11),IF(J11=2,IF(K11=2,INDEX(N11:AC11,1,L11+1),E11),IF(J11=4,IF(K11=2,CHOOSE(L11+1,C11,D11,E11,F11),E11),IF(J11=5,IF(K11=2,MOD(E11+L11,256),E11),IF(J11=6,IF(K11=2,MOD(E11+CHOOSE(L11+1,C11,D11,E11,F11),256),E11),IF(J11=7,IF(K11=2,MOD(E11-L11,256),E11),IF(J11=8,IF(K11=2,MOD(E11-CHOOSE(L11+1,C11,D11,E11,F11),256),E11),IF(J11=12,IF(K11=2,MOD(E11*(IF(L11&gt;=128,CHOOSE(L11-128+1,C11,D11,E11,F11),L11)),256),E11),IF(J11=14,IF(K11=2,_xlfn.BITAND(E11,(IF(L11&gt;=128,CHOOSE(L11-128+1,C11,D11,E11,F11),L11))),E11),IF(J11=16,IF(K11=2,_xlfn.BITOR(E11,(IF(L11&gt;=128,CHOOSE(L11-128+1,C11,D11,E11,F11),L11))),E11),IF(J11=17,IF(K11=2,_xlfn.BITXOR(E11,(IF(L11&gt;=128,CHOOSE(L11-128+1,C11,D11,E11,F11),L11))),E11),IF(J11=18,IF(2=1,QUOTIENT(C11,(IF(L11&gt;=128,CHOOSE(L11-128+1,C11,D11,E11,F11),L11))),IF(2=3,MOD(C11,(IF(L11&gt;=128,CHOOSE(L11-128+1,C11,D11,E11,F11),L11))),E11)),IF(J11=13,MOD(E11-1,256),E11)))))))))))))))</f>
        <v>0</v>
      </c>
      <c r="F12" cm="1">
        <f t="array" ref="F12">IF(M11=1,F11,IF(J11=15,F11,IF(J11=1,IF(K11=3,L11,F11),IF(J11=2,IF(K11=3,INDEX(N11:AC11,1,L11+1),F11),IF(J11=4,IF(K11=3,CHOOSE(L11+1,C11,D11,E11,F11),F11),IF(J11=5,IF(K11=3,MOD(F11+L11,256),F11),IF(J11=6,IF(K11=3,MOD(F11+CHOOSE(L11+1,C11,D11,E11,F11),256),F11),IF(J11=7,IF(K11=3,MOD(F11-L11,256),F11),IF(J11=8,IF(K11=3,MOD(F11-CHOOSE(L11+1,C11,D11,E11,F11),256),F11),IF(J11=12,IF(K11=3,MOD(F11*(IF(L11&gt;=128,CHOOSE(L11-128+1,C11,D11,E11,F11),L11)),256),F11),IF(J11=14,IF(K11=3,_xlfn.BITAND(F11,(IF(L11&gt;=128,CHOOSE(L11-128+1,C11,D11,E11,F11),L11))),F11),IF(J11=16,IF(K11=3,_xlfn.BITOR(F11,(IF(L11&gt;=128,CHOOSE(L11-128+1,C11,D11,E11,F11),L11))),F11),IF(J11=17,IF(K11=3,_xlfn.BITXOR(F11,(IF(L11&gt;=128,CHOOSE(L11-128+1,C11,D11,E11,F11),L11))),F11),IF(J11=18,IF(3=1,QUOTIENT(C11,(IF(L11&gt;=128,CHOOSE(L11-128+1,C11,D11,E11,F11),L11))),IF(3=3,MOD(C11,(IF(L11&gt;=128,CHOOSE(L11-128+1,C11,D11,E11,F11),L11))),F11)),IF(J11=13,F11,F11)))))))))))))))</f>
        <v>0</v>
      </c>
      <c r="G12">
        <f t="shared" si="2"/>
        <v>0</v>
      </c>
      <c r="H12">
        <f t="shared" si="3"/>
        <v>0</v>
      </c>
      <c r="I12">
        <f t="shared" si="4"/>
        <v>0</v>
      </c>
      <c r="J12" cm="1">
        <f t="array" ref="J12">INDEX(PROGRAM!$E$2:$E$257, B12+1)</f>
        <v>15</v>
      </c>
      <c r="K12" cm="1">
        <f t="array" ref="K12">INDEX(PROGRAM!$F$2:$F$257, B12+1)</f>
        <v>0</v>
      </c>
      <c r="L12" cm="1">
        <f t="array" ref="L12">INDEX(PROGRAM!$G$2:$G$257, B12+1)</f>
        <v>0</v>
      </c>
      <c r="M12">
        <f t="shared" si="5"/>
        <v>1</v>
      </c>
      <c r="N12">
        <f t="shared" si="6"/>
        <v>0</v>
      </c>
      <c r="O12">
        <f t="shared" si="7"/>
        <v>10</v>
      </c>
      <c r="P12">
        <f t="shared" si="8"/>
        <v>15</v>
      </c>
      <c r="Q12">
        <f t="shared" si="9"/>
        <v>0</v>
      </c>
      <c r="R12">
        <f t="shared" si="10"/>
        <v>0</v>
      </c>
      <c r="S12">
        <f t="shared" si="11"/>
        <v>0</v>
      </c>
      <c r="T12">
        <f t="shared" si="12"/>
        <v>0</v>
      </c>
      <c r="U12">
        <f t="shared" si="13"/>
        <v>5</v>
      </c>
      <c r="V12">
        <f t="shared" si="14"/>
        <v>0</v>
      </c>
      <c r="W12">
        <f t="shared" si="15"/>
        <v>0</v>
      </c>
      <c r="X12">
        <f t="shared" si="16"/>
        <v>3</v>
      </c>
      <c r="Y12">
        <f t="shared" si="17"/>
        <v>0</v>
      </c>
      <c r="Z12">
        <f t="shared" si="18"/>
        <v>0</v>
      </c>
      <c r="AA12">
        <f t="shared" si="19"/>
        <v>0</v>
      </c>
      <c r="AB12">
        <f t="shared" si="20"/>
        <v>0</v>
      </c>
      <c r="AC12">
        <f t="shared" si="21"/>
        <v>0</v>
      </c>
    </row>
    <row r="13" spans="1:29" x14ac:dyDescent="0.2">
      <c r="A13">
        <f t="shared" si="0"/>
        <v>11</v>
      </c>
      <c r="B13">
        <f t="shared" si="1"/>
        <v>4</v>
      </c>
      <c r="C13" cm="1">
        <f t="array" ref="C13">IF(M12=1,C12,IF(J12=15,C12,IF(J12=1,IF(K12=0,L12,C12),IF(J12=2,IF(K12=0,INDEX(N12:AC12,1,L12+1),C12),IF(J12=4,IF(K12=0,CHOOSE(L12+1,C12,D12,E12,F12),C12),IF(J12=5,IF(K12=0,MOD(C12+L12,256),C12),IF(J12=6,IF(K12=0,MOD(C12+CHOOSE(L12+1,C12,D12,E12,F12),256),C12),IF(J12=7,IF(K12=0,MOD(C12-L12,256),C12),IF(J12=8,IF(K12=0,MOD(C12-CHOOSE(L12+1,C12,D12,E12,F12),256),C12),IF(J12=12,IF(K12=0,MOD(C12*(IF(L12&gt;=128,CHOOSE(L12-128+1,C12,D12,E12,F12),L12)),256),C12),IF(J12=14,IF(K12=0,_xlfn.BITAND(C12,(IF(L12&gt;=128,CHOOSE(L12-128+1,C12,D12,E12,F12),L12))),C12),IF(J12=16,IF(K12=0,_xlfn.BITOR(C12,(IF(L12&gt;=128,CHOOSE(L12-128+1,C12,D12,E12,F12),L12))),C12),IF(J12=17,IF(K12=0,_xlfn.BITXOR(C12,(IF(L12&gt;=128,CHOOSE(L12-128+1,C12,D12,E12,F12),L12))),C12),IF(J12=18,IF(0=1,QUOTIENT(C12,(IF(L12&gt;=128,CHOOSE(L12-128+1,C12,D12,E12,F12),L12))),IF(0=3,MOD(C12,(IF(L12&gt;=128,CHOOSE(L12-128+1,C12,D12,E12,F12),L12))),C12)),IF(J12=13,C12,C12)))))))))))))))</f>
        <v>10</v>
      </c>
      <c r="D13" cm="1">
        <f t="array" ref="D13">IF(M12=1,D12,IF(J12=15,D12,IF(J12=1,IF(K12=1,L12,D12),IF(J12=2,IF(K12=1,INDEX(N12:AC12,1,L12+1),D12),IF(J12=4,IF(K12=1,CHOOSE(L12+1,C12,D12,E12,F12),D12),IF(J12=5,IF(K12=1,MOD(D12+L12,256),D12),IF(J12=6,IF(K12=1,MOD(D12+CHOOSE(L12+1,C12,D12,E12,F12),256),D12),IF(J12=7,IF(K12=1,MOD(D12-L12,256),D12),IF(J12=8,IF(K12=1,MOD(D12-CHOOSE(L12+1,C12,D12,E12,F12),256),D12),IF(J12=12,IF(K12=1,MOD(D12*(IF(L12&gt;=128,CHOOSE(L12-128+1,C12,D12,E12,F12),L12)),256),D12),IF(J12=14,IF(K12=1,_xlfn.BITAND(D12,(IF(L12&gt;=128,CHOOSE(L12-128+1,C12,D12,E12,F12),L12))),D12),IF(J12=16,IF(K12=1,_xlfn.BITOR(D12,(IF(L12&gt;=128,CHOOSE(L12-128+1,C12,D12,E12,F12),L12))),D12),IF(J12=17,IF(K12=1,_xlfn.BITXOR(D12,(IF(L12&gt;=128,CHOOSE(L12-128+1,C12,D12,E12,F12),L12))),D12),IF(J12=18,IF(1=1,QUOTIENT(C12,(IF(L12&gt;=128,CHOOSE(L12-128+1,C12,D12,E12,F12),L12))),IF(1=3,MOD(C12,(IF(L12&gt;=128,CHOOSE(L12-128+1,C12,D12,E12,F12),L12))),D12)),IF(J12=13,D12,D12)))))))))))))))</f>
        <v>5</v>
      </c>
      <c r="E13" cm="1">
        <f t="array" ref="E13">IF(M12=1,E12,IF(J12=15,E12,IF(J12=1,IF(K12=2,L12,E12),IF(J12=2,IF(K12=2,INDEX(N12:AC12,1,L12+1),E12),IF(J12=4,IF(K12=2,CHOOSE(L12+1,C12,D12,E12,F12),E12),IF(J12=5,IF(K12=2,MOD(E12+L12,256),E12),IF(J12=6,IF(K12=2,MOD(E12+CHOOSE(L12+1,C12,D12,E12,F12),256),E12),IF(J12=7,IF(K12=2,MOD(E12-L12,256),E12),IF(J12=8,IF(K12=2,MOD(E12-CHOOSE(L12+1,C12,D12,E12,F12),256),E12),IF(J12=12,IF(K12=2,MOD(E12*(IF(L12&gt;=128,CHOOSE(L12-128+1,C12,D12,E12,F12),L12)),256),E12),IF(J12=14,IF(K12=2,_xlfn.BITAND(E12,(IF(L12&gt;=128,CHOOSE(L12-128+1,C12,D12,E12,F12),L12))),E12),IF(J12=16,IF(K12=2,_xlfn.BITOR(E12,(IF(L12&gt;=128,CHOOSE(L12-128+1,C12,D12,E12,F12),L12))),E12),IF(J12=17,IF(K12=2,_xlfn.BITXOR(E12,(IF(L12&gt;=128,CHOOSE(L12-128+1,C12,D12,E12,F12),L12))),E12),IF(J12=18,IF(2=1,QUOTIENT(C12,(IF(L12&gt;=128,CHOOSE(L12-128+1,C12,D12,E12,F12),L12))),IF(2=3,MOD(C12,(IF(L12&gt;=128,CHOOSE(L12-128+1,C12,D12,E12,F12),L12))),E12)),IF(J12=13,MOD(E12-1,256),E12)))))))))))))))</f>
        <v>0</v>
      </c>
      <c r="F13" cm="1">
        <f t="array" ref="F13">IF(M12=1,F12,IF(J12=15,F12,IF(J12=1,IF(K12=3,L12,F12),IF(J12=2,IF(K12=3,INDEX(N12:AC12,1,L12+1),F12),IF(J12=4,IF(K12=3,CHOOSE(L12+1,C12,D12,E12,F12),F12),IF(J12=5,IF(K12=3,MOD(F12+L12,256),F12),IF(J12=6,IF(K12=3,MOD(F12+CHOOSE(L12+1,C12,D12,E12,F12),256),F12),IF(J12=7,IF(K12=3,MOD(F12-L12,256),F12),IF(J12=8,IF(K12=3,MOD(F12-CHOOSE(L12+1,C12,D12,E12,F12),256),F12),IF(J12=12,IF(K12=3,MOD(F12*(IF(L12&gt;=128,CHOOSE(L12-128+1,C12,D12,E12,F12),L12)),256),F12),IF(J12=14,IF(K12=3,_xlfn.BITAND(F12,(IF(L12&gt;=128,CHOOSE(L12-128+1,C12,D12,E12,F12),L12))),F12),IF(J12=16,IF(K12=3,_xlfn.BITOR(F12,(IF(L12&gt;=128,CHOOSE(L12-128+1,C12,D12,E12,F12),L12))),F12),IF(J12=17,IF(K12=3,_xlfn.BITXOR(F12,(IF(L12&gt;=128,CHOOSE(L12-128+1,C12,D12,E12,F12),L12))),F12),IF(J12=18,IF(3=1,QUOTIENT(C12,(IF(L12&gt;=128,CHOOSE(L12-128+1,C12,D12,E12,F12),L12))),IF(3=3,MOD(C12,(IF(L12&gt;=128,CHOOSE(L12-128+1,C12,D12,E12,F12),L12))),F12)),IF(J12=13,F12,F12)))))))))))))))</f>
        <v>0</v>
      </c>
      <c r="G13">
        <f t="shared" si="2"/>
        <v>0</v>
      </c>
      <c r="H13">
        <f t="shared" si="3"/>
        <v>0</v>
      </c>
      <c r="I13">
        <f t="shared" si="4"/>
        <v>0</v>
      </c>
      <c r="J13" cm="1">
        <f t="array" ref="J13">INDEX(PROGRAM!$E$2:$E$257, B13+1)</f>
        <v>15</v>
      </c>
      <c r="K13" cm="1">
        <f t="array" ref="K13">INDEX(PROGRAM!$F$2:$F$257, B13+1)</f>
        <v>0</v>
      </c>
      <c r="L13" cm="1">
        <f t="array" ref="L13">INDEX(PROGRAM!$G$2:$G$257, B13+1)</f>
        <v>0</v>
      </c>
      <c r="M13">
        <f t="shared" si="5"/>
        <v>1</v>
      </c>
      <c r="N13">
        <f t="shared" si="6"/>
        <v>0</v>
      </c>
      <c r="O13">
        <f t="shared" si="7"/>
        <v>10</v>
      </c>
      <c r="P13">
        <f t="shared" si="8"/>
        <v>15</v>
      </c>
      <c r="Q13">
        <f t="shared" si="9"/>
        <v>0</v>
      </c>
      <c r="R13">
        <f t="shared" si="10"/>
        <v>0</v>
      </c>
      <c r="S13">
        <f t="shared" si="11"/>
        <v>0</v>
      </c>
      <c r="T13">
        <f t="shared" si="12"/>
        <v>0</v>
      </c>
      <c r="U13">
        <f t="shared" si="13"/>
        <v>5</v>
      </c>
      <c r="V13">
        <f t="shared" si="14"/>
        <v>0</v>
      </c>
      <c r="W13">
        <f t="shared" si="15"/>
        <v>0</v>
      </c>
      <c r="X13">
        <f t="shared" si="16"/>
        <v>3</v>
      </c>
      <c r="Y13">
        <f t="shared" si="17"/>
        <v>0</v>
      </c>
      <c r="Z13">
        <f t="shared" si="18"/>
        <v>0</v>
      </c>
      <c r="AA13">
        <f t="shared" si="19"/>
        <v>0</v>
      </c>
      <c r="AB13">
        <f t="shared" si="20"/>
        <v>0</v>
      </c>
      <c r="AC13">
        <f t="shared" si="21"/>
        <v>0</v>
      </c>
    </row>
    <row r="14" spans="1:29" x14ac:dyDescent="0.2">
      <c r="A14">
        <f t="shared" si="0"/>
        <v>12</v>
      </c>
      <c r="B14">
        <f t="shared" si="1"/>
        <v>4</v>
      </c>
      <c r="C14" cm="1">
        <f t="array" ref="C14">IF(M13=1,C13,IF(J13=15,C13,IF(J13=1,IF(K13=0,L13,C13),IF(J13=2,IF(K13=0,INDEX(N13:AC13,1,L13+1),C13),IF(J13=4,IF(K13=0,CHOOSE(L13+1,C13,D13,E13,F13),C13),IF(J13=5,IF(K13=0,MOD(C13+L13,256),C13),IF(J13=6,IF(K13=0,MOD(C13+CHOOSE(L13+1,C13,D13,E13,F13),256),C13),IF(J13=7,IF(K13=0,MOD(C13-L13,256),C13),IF(J13=8,IF(K13=0,MOD(C13-CHOOSE(L13+1,C13,D13,E13,F13),256),C13),IF(J13=12,IF(K13=0,MOD(C13*(IF(L13&gt;=128,CHOOSE(L13-128+1,C13,D13,E13,F13),L13)),256),C13),IF(J13=14,IF(K13=0,_xlfn.BITAND(C13,(IF(L13&gt;=128,CHOOSE(L13-128+1,C13,D13,E13,F13),L13))),C13),IF(J13=16,IF(K13=0,_xlfn.BITOR(C13,(IF(L13&gt;=128,CHOOSE(L13-128+1,C13,D13,E13,F13),L13))),C13),IF(J13=17,IF(K13=0,_xlfn.BITXOR(C13,(IF(L13&gt;=128,CHOOSE(L13-128+1,C13,D13,E13,F13),L13))),C13),IF(J13=18,IF(0=1,QUOTIENT(C13,(IF(L13&gt;=128,CHOOSE(L13-128+1,C13,D13,E13,F13),L13))),IF(0=3,MOD(C13,(IF(L13&gt;=128,CHOOSE(L13-128+1,C13,D13,E13,F13),L13))),C13)),IF(J13=13,C13,C13)))))))))))))))</f>
        <v>10</v>
      </c>
      <c r="D14" cm="1">
        <f t="array" ref="D14">IF(M13=1,D13,IF(J13=15,D13,IF(J13=1,IF(K13=1,L13,D13),IF(J13=2,IF(K13=1,INDEX(N13:AC13,1,L13+1),D13),IF(J13=4,IF(K13=1,CHOOSE(L13+1,C13,D13,E13,F13),D13),IF(J13=5,IF(K13=1,MOD(D13+L13,256),D13),IF(J13=6,IF(K13=1,MOD(D13+CHOOSE(L13+1,C13,D13,E13,F13),256),D13),IF(J13=7,IF(K13=1,MOD(D13-L13,256),D13),IF(J13=8,IF(K13=1,MOD(D13-CHOOSE(L13+1,C13,D13,E13,F13),256),D13),IF(J13=12,IF(K13=1,MOD(D13*(IF(L13&gt;=128,CHOOSE(L13-128+1,C13,D13,E13,F13),L13)),256),D13),IF(J13=14,IF(K13=1,_xlfn.BITAND(D13,(IF(L13&gt;=128,CHOOSE(L13-128+1,C13,D13,E13,F13),L13))),D13),IF(J13=16,IF(K13=1,_xlfn.BITOR(D13,(IF(L13&gt;=128,CHOOSE(L13-128+1,C13,D13,E13,F13),L13))),D13),IF(J13=17,IF(K13=1,_xlfn.BITXOR(D13,(IF(L13&gt;=128,CHOOSE(L13-128+1,C13,D13,E13,F13),L13))),D13),IF(J13=18,IF(1=1,QUOTIENT(C13,(IF(L13&gt;=128,CHOOSE(L13-128+1,C13,D13,E13,F13),L13))),IF(1=3,MOD(C13,(IF(L13&gt;=128,CHOOSE(L13-128+1,C13,D13,E13,F13),L13))),D13)),IF(J13=13,D13,D13)))))))))))))))</f>
        <v>5</v>
      </c>
      <c r="E14" cm="1">
        <f t="array" ref="E14">IF(M13=1,E13,IF(J13=15,E13,IF(J13=1,IF(K13=2,L13,E13),IF(J13=2,IF(K13=2,INDEX(N13:AC13,1,L13+1),E13),IF(J13=4,IF(K13=2,CHOOSE(L13+1,C13,D13,E13,F13),E13),IF(J13=5,IF(K13=2,MOD(E13+L13,256),E13),IF(J13=6,IF(K13=2,MOD(E13+CHOOSE(L13+1,C13,D13,E13,F13),256),E13),IF(J13=7,IF(K13=2,MOD(E13-L13,256),E13),IF(J13=8,IF(K13=2,MOD(E13-CHOOSE(L13+1,C13,D13,E13,F13),256),E13),IF(J13=12,IF(K13=2,MOD(E13*(IF(L13&gt;=128,CHOOSE(L13-128+1,C13,D13,E13,F13),L13)),256),E13),IF(J13=14,IF(K13=2,_xlfn.BITAND(E13,(IF(L13&gt;=128,CHOOSE(L13-128+1,C13,D13,E13,F13),L13))),E13),IF(J13=16,IF(K13=2,_xlfn.BITOR(E13,(IF(L13&gt;=128,CHOOSE(L13-128+1,C13,D13,E13,F13),L13))),E13),IF(J13=17,IF(K13=2,_xlfn.BITXOR(E13,(IF(L13&gt;=128,CHOOSE(L13-128+1,C13,D13,E13,F13),L13))),E13),IF(J13=18,IF(2=1,QUOTIENT(C13,(IF(L13&gt;=128,CHOOSE(L13-128+1,C13,D13,E13,F13),L13))),IF(2=3,MOD(C13,(IF(L13&gt;=128,CHOOSE(L13-128+1,C13,D13,E13,F13),L13))),E13)),IF(J13=13,MOD(E13-1,256),E13)))))))))))))))</f>
        <v>0</v>
      </c>
      <c r="F14" cm="1">
        <f t="array" ref="F14">IF(M13=1,F13,IF(J13=15,F13,IF(J13=1,IF(K13=3,L13,F13),IF(J13=2,IF(K13=3,INDEX(N13:AC13,1,L13+1),F13),IF(J13=4,IF(K13=3,CHOOSE(L13+1,C13,D13,E13,F13),F13),IF(J13=5,IF(K13=3,MOD(F13+L13,256),F13),IF(J13=6,IF(K13=3,MOD(F13+CHOOSE(L13+1,C13,D13,E13,F13),256),F13),IF(J13=7,IF(K13=3,MOD(F13-L13,256),F13),IF(J13=8,IF(K13=3,MOD(F13-CHOOSE(L13+1,C13,D13,E13,F13),256),F13),IF(J13=12,IF(K13=3,MOD(F13*(IF(L13&gt;=128,CHOOSE(L13-128+1,C13,D13,E13,F13),L13)),256),F13),IF(J13=14,IF(K13=3,_xlfn.BITAND(F13,(IF(L13&gt;=128,CHOOSE(L13-128+1,C13,D13,E13,F13),L13))),F13),IF(J13=16,IF(K13=3,_xlfn.BITOR(F13,(IF(L13&gt;=128,CHOOSE(L13-128+1,C13,D13,E13,F13),L13))),F13),IF(J13=17,IF(K13=3,_xlfn.BITXOR(F13,(IF(L13&gt;=128,CHOOSE(L13-128+1,C13,D13,E13,F13),L13))),F13),IF(J13=18,IF(3=1,QUOTIENT(C13,(IF(L13&gt;=128,CHOOSE(L13-128+1,C13,D13,E13,F13),L13))),IF(3=3,MOD(C13,(IF(L13&gt;=128,CHOOSE(L13-128+1,C13,D13,E13,F13),L13))),F13)),IF(J13=13,F13,F13)))))))))))))))</f>
        <v>0</v>
      </c>
      <c r="G14">
        <f t="shared" si="2"/>
        <v>0</v>
      </c>
      <c r="H14">
        <f t="shared" si="3"/>
        <v>0</v>
      </c>
      <c r="I14">
        <f t="shared" si="4"/>
        <v>0</v>
      </c>
      <c r="J14" cm="1">
        <f t="array" ref="J14">INDEX(PROGRAM!$E$2:$E$257, B14+1)</f>
        <v>15</v>
      </c>
      <c r="K14" cm="1">
        <f t="array" ref="K14">INDEX(PROGRAM!$F$2:$F$257, B14+1)</f>
        <v>0</v>
      </c>
      <c r="L14" cm="1">
        <f t="array" ref="L14">INDEX(PROGRAM!$G$2:$G$257, B14+1)</f>
        <v>0</v>
      </c>
      <c r="M14">
        <f t="shared" si="5"/>
        <v>1</v>
      </c>
      <c r="N14">
        <f t="shared" si="6"/>
        <v>0</v>
      </c>
      <c r="O14">
        <f t="shared" si="7"/>
        <v>10</v>
      </c>
      <c r="P14">
        <f t="shared" si="8"/>
        <v>15</v>
      </c>
      <c r="Q14">
        <f t="shared" si="9"/>
        <v>0</v>
      </c>
      <c r="R14">
        <f t="shared" si="10"/>
        <v>0</v>
      </c>
      <c r="S14">
        <f t="shared" si="11"/>
        <v>0</v>
      </c>
      <c r="T14">
        <f t="shared" si="12"/>
        <v>0</v>
      </c>
      <c r="U14">
        <f t="shared" si="13"/>
        <v>5</v>
      </c>
      <c r="V14">
        <f t="shared" si="14"/>
        <v>0</v>
      </c>
      <c r="W14">
        <f t="shared" si="15"/>
        <v>0</v>
      </c>
      <c r="X14">
        <f t="shared" si="16"/>
        <v>3</v>
      </c>
      <c r="Y14">
        <f t="shared" si="17"/>
        <v>0</v>
      </c>
      <c r="Z14">
        <f t="shared" si="18"/>
        <v>0</v>
      </c>
      <c r="AA14">
        <f t="shared" si="19"/>
        <v>0</v>
      </c>
      <c r="AB14">
        <f t="shared" si="20"/>
        <v>0</v>
      </c>
      <c r="AC14">
        <f t="shared" si="21"/>
        <v>0</v>
      </c>
    </row>
    <row r="15" spans="1:29" x14ac:dyDescent="0.2">
      <c r="A15">
        <f t="shared" si="0"/>
        <v>13</v>
      </c>
      <c r="B15">
        <f t="shared" si="1"/>
        <v>4</v>
      </c>
      <c r="C15" cm="1">
        <f t="array" ref="C15">IF(M14=1,C14,IF(J14=15,C14,IF(J14=1,IF(K14=0,L14,C14),IF(J14=2,IF(K14=0,INDEX(N14:AC14,1,L14+1),C14),IF(J14=4,IF(K14=0,CHOOSE(L14+1,C14,D14,E14,F14),C14),IF(J14=5,IF(K14=0,MOD(C14+L14,256),C14),IF(J14=6,IF(K14=0,MOD(C14+CHOOSE(L14+1,C14,D14,E14,F14),256),C14),IF(J14=7,IF(K14=0,MOD(C14-L14,256),C14),IF(J14=8,IF(K14=0,MOD(C14-CHOOSE(L14+1,C14,D14,E14,F14),256),C14),IF(J14=12,IF(K14=0,MOD(C14*(IF(L14&gt;=128,CHOOSE(L14-128+1,C14,D14,E14,F14),L14)),256),C14),IF(J14=14,IF(K14=0,_xlfn.BITAND(C14,(IF(L14&gt;=128,CHOOSE(L14-128+1,C14,D14,E14,F14),L14))),C14),IF(J14=16,IF(K14=0,_xlfn.BITOR(C14,(IF(L14&gt;=128,CHOOSE(L14-128+1,C14,D14,E14,F14),L14))),C14),IF(J14=17,IF(K14=0,_xlfn.BITXOR(C14,(IF(L14&gt;=128,CHOOSE(L14-128+1,C14,D14,E14,F14),L14))),C14),IF(J14=18,IF(0=1,QUOTIENT(C14,(IF(L14&gt;=128,CHOOSE(L14-128+1,C14,D14,E14,F14),L14))),IF(0=3,MOD(C14,(IF(L14&gt;=128,CHOOSE(L14-128+1,C14,D14,E14,F14),L14))),C14)),IF(J14=13,C14,C14)))))))))))))))</f>
        <v>10</v>
      </c>
      <c r="D15" cm="1">
        <f t="array" ref="D15">IF(M14=1,D14,IF(J14=15,D14,IF(J14=1,IF(K14=1,L14,D14),IF(J14=2,IF(K14=1,INDEX(N14:AC14,1,L14+1),D14),IF(J14=4,IF(K14=1,CHOOSE(L14+1,C14,D14,E14,F14),D14),IF(J14=5,IF(K14=1,MOD(D14+L14,256),D14),IF(J14=6,IF(K14=1,MOD(D14+CHOOSE(L14+1,C14,D14,E14,F14),256),D14),IF(J14=7,IF(K14=1,MOD(D14-L14,256),D14),IF(J14=8,IF(K14=1,MOD(D14-CHOOSE(L14+1,C14,D14,E14,F14),256),D14),IF(J14=12,IF(K14=1,MOD(D14*(IF(L14&gt;=128,CHOOSE(L14-128+1,C14,D14,E14,F14),L14)),256),D14),IF(J14=14,IF(K14=1,_xlfn.BITAND(D14,(IF(L14&gt;=128,CHOOSE(L14-128+1,C14,D14,E14,F14),L14))),D14),IF(J14=16,IF(K14=1,_xlfn.BITOR(D14,(IF(L14&gt;=128,CHOOSE(L14-128+1,C14,D14,E14,F14),L14))),D14),IF(J14=17,IF(K14=1,_xlfn.BITXOR(D14,(IF(L14&gt;=128,CHOOSE(L14-128+1,C14,D14,E14,F14),L14))),D14),IF(J14=18,IF(1=1,QUOTIENT(C14,(IF(L14&gt;=128,CHOOSE(L14-128+1,C14,D14,E14,F14),L14))),IF(1=3,MOD(C14,(IF(L14&gt;=128,CHOOSE(L14-128+1,C14,D14,E14,F14),L14))),D14)),IF(J14=13,D14,D14)))))))))))))))</f>
        <v>5</v>
      </c>
      <c r="E15" cm="1">
        <f t="array" ref="E15">IF(M14=1,E14,IF(J14=15,E14,IF(J14=1,IF(K14=2,L14,E14),IF(J14=2,IF(K14=2,INDEX(N14:AC14,1,L14+1),E14),IF(J14=4,IF(K14=2,CHOOSE(L14+1,C14,D14,E14,F14),E14),IF(J14=5,IF(K14=2,MOD(E14+L14,256),E14),IF(J14=6,IF(K14=2,MOD(E14+CHOOSE(L14+1,C14,D14,E14,F14),256),E14),IF(J14=7,IF(K14=2,MOD(E14-L14,256),E14),IF(J14=8,IF(K14=2,MOD(E14-CHOOSE(L14+1,C14,D14,E14,F14),256),E14),IF(J14=12,IF(K14=2,MOD(E14*(IF(L14&gt;=128,CHOOSE(L14-128+1,C14,D14,E14,F14),L14)),256),E14),IF(J14=14,IF(K14=2,_xlfn.BITAND(E14,(IF(L14&gt;=128,CHOOSE(L14-128+1,C14,D14,E14,F14),L14))),E14),IF(J14=16,IF(K14=2,_xlfn.BITOR(E14,(IF(L14&gt;=128,CHOOSE(L14-128+1,C14,D14,E14,F14),L14))),E14),IF(J14=17,IF(K14=2,_xlfn.BITXOR(E14,(IF(L14&gt;=128,CHOOSE(L14-128+1,C14,D14,E14,F14),L14))),E14),IF(J14=18,IF(2=1,QUOTIENT(C14,(IF(L14&gt;=128,CHOOSE(L14-128+1,C14,D14,E14,F14),L14))),IF(2=3,MOD(C14,(IF(L14&gt;=128,CHOOSE(L14-128+1,C14,D14,E14,F14),L14))),E14)),IF(J14=13,MOD(E14-1,256),E14)))))))))))))))</f>
        <v>0</v>
      </c>
      <c r="F15" cm="1">
        <f t="array" ref="F15">IF(M14=1,F14,IF(J14=15,F14,IF(J14=1,IF(K14=3,L14,F14),IF(J14=2,IF(K14=3,INDEX(N14:AC14,1,L14+1),F14),IF(J14=4,IF(K14=3,CHOOSE(L14+1,C14,D14,E14,F14),F14),IF(J14=5,IF(K14=3,MOD(F14+L14,256),F14),IF(J14=6,IF(K14=3,MOD(F14+CHOOSE(L14+1,C14,D14,E14,F14),256),F14),IF(J14=7,IF(K14=3,MOD(F14-L14,256),F14),IF(J14=8,IF(K14=3,MOD(F14-CHOOSE(L14+1,C14,D14,E14,F14),256),F14),IF(J14=12,IF(K14=3,MOD(F14*(IF(L14&gt;=128,CHOOSE(L14-128+1,C14,D14,E14,F14),L14)),256),F14),IF(J14=14,IF(K14=3,_xlfn.BITAND(F14,(IF(L14&gt;=128,CHOOSE(L14-128+1,C14,D14,E14,F14),L14))),F14),IF(J14=16,IF(K14=3,_xlfn.BITOR(F14,(IF(L14&gt;=128,CHOOSE(L14-128+1,C14,D14,E14,F14),L14))),F14),IF(J14=17,IF(K14=3,_xlfn.BITXOR(F14,(IF(L14&gt;=128,CHOOSE(L14-128+1,C14,D14,E14,F14),L14))),F14),IF(J14=18,IF(3=1,QUOTIENT(C14,(IF(L14&gt;=128,CHOOSE(L14-128+1,C14,D14,E14,F14),L14))),IF(3=3,MOD(C14,(IF(L14&gt;=128,CHOOSE(L14-128+1,C14,D14,E14,F14),L14))),F14)),IF(J14=13,F14,F14)))))))))))))))</f>
        <v>0</v>
      </c>
      <c r="G15">
        <f t="shared" si="2"/>
        <v>0</v>
      </c>
      <c r="H15">
        <f t="shared" si="3"/>
        <v>0</v>
      </c>
      <c r="I15">
        <f t="shared" si="4"/>
        <v>0</v>
      </c>
      <c r="J15" cm="1">
        <f t="array" ref="J15">INDEX(PROGRAM!$E$2:$E$257, B15+1)</f>
        <v>15</v>
      </c>
      <c r="K15" cm="1">
        <f t="array" ref="K15">INDEX(PROGRAM!$F$2:$F$257, B15+1)</f>
        <v>0</v>
      </c>
      <c r="L15" cm="1">
        <f t="array" ref="L15">INDEX(PROGRAM!$G$2:$G$257, B15+1)</f>
        <v>0</v>
      </c>
      <c r="M15">
        <f t="shared" si="5"/>
        <v>1</v>
      </c>
      <c r="N15">
        <f t="shared" si="6"/>
        <v>0</v>
      </c>
      <c r="O15">
        <f t="shared" si="7"/>
        <v>10</v>
      </c>
      <c r="P15">
        <f t="shared" si="8"/>
        <v>15</v>
      </c>
      <c r="Q15">
        <f t="shared" si="9"/>
        <v>0</v>
      </c>
      <c r="R15">
        <f t="shared" si="10"/>
        <v>0</v>
      </c>
      <c r="S15">
        <f t="shared" si="11"/>
        <v>0</v>
      </c>
      <c r="T15">
        <f t="shared" si="12"/>
        <v>0</v>
      </c>
      <c r="U15">
        <f t="shared" si="13"/>
        <v>5</v>
      </c>
      <c r="V15">
        <f t="shared" si="14"/>
        <v>0</v>
      </c>
      <c r="W15">
        <f t="shared" si="15"/>
        <v>0</v>
      </c>
      <c r="X15">
        <f t="shared" si="16"/>
        <v>3</v>
      </c>
      <c r="Y15">
        <f t="shared" si="17"/>
        <v>0</v>
      </c>
      <c r="Z15">
        <f t="shared" si="18"/>
        <v>0</v>
      </c>
      <c r="AA15">
        <f t="shared" si="19"/>
        <v>0</v>
      </c>
      <c r="AB15">
        <f t="shared" si="20"/>
        <v>0</v>
      </c>
      <c r="AC15">
        <f t="shared" si="21"/>
        <v>0</v>
      </c>
    </row>
    <row r="16" spans="1:29" x14ac:dyDescent="0.2">
      <c r="A16">
        <f t="shared" si="0"/>
        <v>14</v>
      </c>
      <c r="B16">
        <f t="shared" si="1"/>
        <v>4</v>
      </c>
      <c r="C16" cm="1">
        <f t="array" ref="C16">IF(M15=1,C15,IF(J15=15,C15,IF(J15=1,IF(K15=0,L15,C15),IF(J15=2,IF(K15=0,INDEX(N15:AC15,1,L15+1),C15),IF(J15=4,IF(K15=0,CHOOSE(L15+1,C15,D15,E15,F15),C15),IF(J15=5,IF(K15=0,MOD(C15+L15,256),C15),IF(J15=6,IF(K15=0,MOD(C15+CHOOSE(L15+1,C15,D15,E15,F15),256),C15),IF(J15=7,IF(K15=0,MOD(C15-L15,256),C15),IF(J15=8,IF(K15=0,MOD(C15-CHOOSE(L15+1,C15,D15,E15,F15),256),C15),IF(J15=12,IF(K15=0,MOD(C15*(IF(L15&gt;=128,CHOOSE(L15-128+1,C15,D15,E15,F15),L15)),256),C15),IF(J15=14,IF(K15=0,_xlfn.BITAND(C15,(IF(L15&gt;=128,CHOOSE(L15-128+1,C15,D15,E15,F15),L15))),C15),IF(J15=16,IF(K15=0,_xlfn.BITOR(C15,(IF(L15&gt;=128,CHOOSE(L15-128+1,C15,D15,E15,F15),L15))),C15),IF(J15=17,IF(K15=0,_xlfn.BITXOR(C15,(IF(L15&gt;=128,CHOOSE(L15-128+1,C15,D15,E15,F15),L15))),C15),IF(J15=18,IF(0=1,QUOTIENT(C15,(IF(L15&gt;=128,CHOOSE(L15-128+1,C15,D15,E15,F15),L15))),IF(0=3,MOD(C15,(IF(L15&gt;=128,CHOOSE(L15-128+1,C15,D15,E15,F15),L15))),C15)),IF(J15=13,C15,C15)))))))))))))))</f>
        <v>10</v>
      </c>
      <c r="D16" cm="1">
        <f t="array" ref="D16">IF(M15=1,D15,IF(J15=15,D15,IF(J15=1,IF(K15=1,L15,D15),IF(J15=2,IF(K15=1,INDEX(N15:AC15,1,L15+1),D15),IF(J15=4,IF(K15=1,CHOOSE(L15+1,C15,D15,E15,F15),D15),IF(J15=5,IF(K15=1,MOD(D15+L15,256),D15),IF(J15=6,IF(K15=1,MOD(D15+CHOOSE(L15+1,C15,D15,E15,F15),256),D15),IF(J15=7,IF(K15=1,MOD(D15-L15,256),D15),IF(J15=8,IF(K15=1,MOD(D15-CHOOSE(L15+1,C15,D15,E15,F15),256),D15),IF(J15=12,IF(K15=1,MOD(D15*(IF(L15&gt;=128,CHOOSE(L15-128+1,C15,D15,E15,F15),L15)),256),D15),IF(J15=14,IF(K15=1,_xlfn.BITAND(D15,(IF(L15&gt;=128,CHOOSE(L15-128+1,C15,D15,E15,F15),L15))),D15),IF(J15=16,IF(K15=1,_xlfn.BITOR(D15,(IF(L15&gt;=128,CHOOSE(L15-128+1,C15,D15,E15,F15),L15))),D15),IF(J15=17,IF(K15=1,_xlfn.BITXOR(D15,(IF(L15&gt;=128,CHOOSE(L15-128+1,C15,D15,E15,F15),L15))),D15),IF(J15=18,IF(1=1,QUOTIENT(C15,(IF(L15&gt;=128,CHOOSE(L15-128+1,C15,D15,E15,F15),L15))),IF(1=3,MOD(C15,(IF(L15&gt;=128,CHOOSE(L15-128+1,C15,D15,E15,F15),L15))),D15)),IF(J15=13,D15,D15)))))))))))))))</f>
        <v>5</v>
      </c>
      <c r="E16" cm="1">
        <f t="array" ref="E16">IF(M15=1,E15,IF(J15=15,E15,IF(J15=1,IF(K15=2,L15,E15),IF(J15=2,IF(K15=2,INDEX(N15:AC15,1,L15+1),E15),IF(J15=4,IF(K15=2,CHOOSE(L15+1,C15,D15,E15,F15),E15),IF(J15=5,IF(K15=2,MOD(E15+L15,256),E15),IF(J15=6,IF(K15=2,MOD(E15+CHOOSE(L15+1,C15,D15,E15,F15),256),E15),IF(J15=7,IF(K15=2,MOD(E15-L15,256),E15),IF(J15=8,IF(K15=2,MOD(E15-CHOOSE(L15+1,C15,D15,E15,F15),256),E15),IF(J15=12,IF(K15=2,MOD(E15*(IF(L15&gt;=128,CHOOSE(L15-128+1,C15,D15,E15,F15),L15)),256),E15),IF(J15=14,IF(K15=2,_xlfn.BITAND(E15,(IF(L15&gt;=128,CHOOSE(L15-128+1,C15,D15,E15,F15),L15))),E15),IF(J15=16,IF(K15=2,_xlfn.BITOR(E15,(IF(L15&gt;=128,CHOOSE(L15-128+1,C15,D15,E15,F15),L15))),E15),IF(J15=17,IF(K15=2,_xlfn.BITXOR(E15,(IF(L15&gt;=128,CHOOSE(L15-128+1,C15,D15,E15,F15),L15))),E15),IF(J15=18,IF(2=1,QUOTIENT(C15,(IF(L15&gt;=128,CHOOSE(L15-128+1,C15,D15,E15,F15),L15))),IF(2=3,MOD(C15,(IF(L15&gt;=128,CHOOSE(L15-128+1,C15,D15,E15,F15),L15))),E15)),IF(J15=13,MOD(E15-1,256),E15)))))))))))))))</f>
        <v>0</v>
      </c>
      <c r="F16" cm="1">
        <f t="array" ref="F16">IF(M15=1,F15,IF(J15=15,F15,IF(J15=1,IF(K15=3,L15,F15),IF(J15=2,IF(K15=3,INDEX(N15:AC15,1,L15+1),F15),IF(J15=4,IF(K15=3,CHOOSE(L15+1,C15,D15,E15,F15),F15),IF(J15=5,IF(K15=3,MOD(F15+L15,256),F15),IF(J15=6,IF(K15=3,MOD(F15+CHOOSE(L15+1,C15,D15,E15,F15),256),F15),IF(J15=7,IF(K15=3,MOD(F15-L15,256),F15),IF(J15=8,IF(K15=3,MOD(F15-CHOOSE(L15+1,C15,D15,E15,F15),256),F15),IF(J15=12,IF(K15=3,MOD(F15*(IF(L15&gt;=128,CHOOSE(L15-128+1,C15,D15,E15,F15),L15)),256),F15),IF(J15=14,IF(K15=3,_xlfn.BITAND(F15,(IF(L15&gt;=128,CHOOSE(L15-128+1,C15,D15,E15,F15),L15))),F15),IF(J15=16,IF(K15=3,_xlfn.BITOR(F15,(IF(L15&gt;=128,CHOOSE(L15-128+1,C15,D15,E15,F15),L15))),F15),IF(J15=17,IF(K15=3,_xlfn.BITXOR(F15,(IF(L15&gt;=128,CHOOSE(L15-128+1,C15,D15,E15,F15),L15))),F15),IF(J15=18,IF(3=1,QUOTIENT(C15,(IF(L15&gt;=128,CHOOSE(L15-128+1,C15,D15,E15,F15),L15))),IF(3=3,MOD(C15,(IF(L15&gt;=128,CHOOSE(L15-128+1,C15,D15,E15,F15),L15))),F15)),IF(J15=13,F15,F15)))))))))))))))</f>
        <v>0</v>
      </c>
      <c r="G16">
        <f t="shared" si="2"/>
        <v>0</v>
      </c>
      <c r="H16">
        <f t="shared" si="3"/>
        <v>0</v>
      </c>
      <c r="I16">
        <f t="shared" si="4"/>
        <v>0</v>
      </c>
      <c r="J16" cm="1">
        <f t="array" ref="J16">INDEX(PROGRAM!$E$2:$E$257, B16+1)</f>
        <v>15</v>
      </c>
      <c r="K16" cm="1">
        <f t="array" ref="K16">INDEX(PROGRAM!$F$2:$F$257, B16+1)</f>
        <v>0</v>
      </c>
      <c r="L16" cm="1">
        <f t="array" ref="L16">INDEX(PROGRAM!$G$2:$G$257, B16+1)</f>
        <v>0</v>
      </c>
      <c r="M16">
        <f t="shared" si="5"/>
        <v>1</v>
      </c>
      <c r="N16">
        <f t="shared" si="6"/>
        <v>0</v>
      </c>
      <c r="O16">
        <f t="shared" si="7"/>
        <v>10</v>
      </c>
      <c r="P16">
        <f t="shared" si="8"/>
        <v>15</v>
      </c>
      <c r="Q16">
        <f t="shared" si="9"/>
        <v>0</v>
      </c>
      <c r="R16">
        <f t="shared" si="10"/>
        <v>0</v>
      </c>
      <c r="S16">
        <f t="shared" si="11"/>
        <v>0</v>
      </c>
      <c r="T16">
        <f t="shared" si="12"/>
        <v>0</v>
      </c>
      <c r="U16">
        <f t="shared" si="13"/>
        <v>5</v>
      </c>
      <c r="V16">
        <f t="shared" si="14"/>
        <v>0</v>
      </c>
      <c r="W16">
        <f t="shared" si="15"/>
        <v>0</v>
      </c>
      <c r="X16">
        <f t="shared" si="16"/>
        <v>3</v>
      </c>
      <c r="Y16">
        <f t="shared" si="17"/>
        <v>0</v>
      </c>
      <c r="Z16">
        <f t="shared" si="18"/>
        <v>0</v>
      </c>
      <c r="AA16">
        <f t="shared" si="19"/>
        <v>0</v>
      </c>
      <c r="AB16">
        <f t="shared" si="20"/>
        <v>0</v>
      </c>
      <c r="AC16">
        <f t="shared" si="21"/>
        <v>0</v>
      </c>
    </row>
    <row r="17" spans="1:29" x14ac:dyDescent="0.2">
      <c r="A17">
        <f t="shared" si="0"/>
        <v>15</v>
      </c>
      <c r="B17">
        <f t="shared" si="1"/>
        <v>4</v>
      </c>
      <c r="C17" cm="1">
        <f t="array" ref="C17">IF(M16=1,C16,IF(J16=15,C16,IF(J16=1,IF(K16=0,L16,C16),IF(J16=2,IF(K16=0,INDEX(N16:AC16,1,L16+1),C16),IF(J16=4,IF(K16=0,CHOOSE(L16+1,C16,D16,E16,F16),C16),IF(J16=5,IF(K16=0,MOD(C16+L16,256),C16),IF(J16=6,IF(K16=0,MOD(C16+CHOOSE(L16+1,C16,D16,E16,F16),256),C16),IF(J16=7,IF(K16=0,MOD(C16-L16,256),C16),IF(J16=8,IF(K16=0,MOD(C16-CHOOSE(L16+1,C16,D16,E16,F16),256),C16),IF(J16=12,IF(K16=0,MOD(C16*(IF(L16&gt;=128,CHOOSE(L16-128+1,C16,D16,E16,F16),L16)),256),C16),IF(J16=14,IF(K16=0,_xlfn.BITAND(C16,(IF(L16&gt;=128,CHOOSE(L16-128+1,C16,D16,E16,F16),L16))),C16),IF(J16=16,IF(K16=0,_xlfn.BITOR(C16,(IF(L16&gt;=128,CHOOSE(L16-128+1,C16,D16,E16,F16),L16))),C16),IF(J16=17,IF(K16=0,_xlfn.BITXOR(C16,(IF(L16&gt;=128,CHOOSE(L16-128+1,C16,D16,E16,F16),L16))),C16),IF(J16=18,IF(0=1,QUOTIENT(C16,(IF(L16&gt;=128,CHOOSE(L16-128+1,C16,D16,E16,F16),L16))),IF(0=3,MOD(C16,(IF(L16&gt;=128,CHOOSE(L16-128+1,C16,D16,E16,F16),L16))),C16)),IF(J16=13,C16,C16)))))))))))))))</f>
        <v>10</v>
      </c>
      <c r="D17" cm="1">
        <f t="array" ref="D17">IF(M16=1,D16,IF(J16=15,D16,IF(J16=1,IF(K16=1,L16,D16),IF(J16=2,IF(K16=1,INDEX(N16:AC16,1,L16+1),D16),IF(J16=4,IF(K16=1,CHOOSE(L16+1,C16,D16,E16,F16),D16),IF(J16=5,IF(K16=1,MOD(D16+L16,256),D16),IF(J16=6,IF(K16=1,MOD(D16+CHOOSE(L16+1,C16,D16,E16,F16),256),D16),IF(J16=7,IF(K16=1,MOD(D16-L16,256),D16),IF(J16=8,IF(K16=1,MOD(D16-CHOOSE(L16+1,C16,D16,E16,F16),256),D16),IF(J16=12,IF(K16=1,MOD(D16*(IF(L16&gt;=128,CHOOSE(L16-128+1,C16,D16,E16,F16),L16)),256),D16),IF(J16=14,IF(K16=1,_xlfn.BITAND(D16,(IF(L16&gt;=128,CHOOSE(L16-128+1,C16,D16,E16,F16),L16))),D16),IF(J16=16,IF(K16=1,_xlfn.BITOR(D16,(IF(L16&gt;=128,CHOOSE(L16-128+1,C16,D16,E16,F16),L16))),D16),IF(J16=17,IF(K16=1,_xlfn.BITXOR(D16,(IF(L16&gt;=128,CHOOSE(L16-128+1,C16,D16,E16,F16),L16))),D16),IF(J16=18,IF(1=1,QUOTIENT(C16,(IF(L16&gt;=128,CHOOSE(L16-128+1,C16,D16,E16,F16),L16))),IF(1=3,MOD(C16,(IF(L16&gt;=128,CHOOSE(L16-128+1,C16,D16,E16,F16),L16))),D16)),IF(J16=13,D16,D16)))))))))))))))</f>
        <v>5</v>
      </c>
      <c r="E17" cm="1">
        <f t="array" ref="E17">IF(M16=1,E16,IF(J16=15,E16,IF(J16=1,IF(K16=2,L16,E16),IF(J16=2,IF(K16=2,INDEX(N16:AC16,1,L16+1),E16),IF(J16=4,IF(K16=2,CHOOSE(L16+1,C16,D16,E16,F16),E16),IF(J16=5,IF(K16=2,MOD(E16+L16,256),E16),IF(J16=6,IF(K16=2,MOD(E16+CHOOSE(L16+1,C16,D16,E16,F16),256),E16),IF(J16=7,IF(K16=2,MOD(E16-L16,256),E16),IF(J16=8,IF(K16=2,MOD(E16-CHOOSE(L16+1,C16,D16,E16,F16),256),E16),IF(J16=12,IF(K16=2,MOD(E16*(IF(L16&gt;=128,CHOOSE(L16-128+1,C16,D16,E16,F16),L16)),256),E16),IF(J16=14,IF(K16=2,_xlfn.BITAND(E16,(IF(L16&gt;=128,CHOOSE(L16-128+1,C16,D16,E16,F16),L16))),E16),IF(J16=16,IF(K16=2,_xlfn.BITOR(E16,(IF(L16&gt;=128,CHOOSE(L16-128+1,C16,D16,E16,F16),L16))),E16),IF(J16=17,IF(K16=2,_xlfn.BITXOR(E16,(IF(L16&gt;=128,CHOOSE(L16-128+1,C16,D16,E16,F16),L16))),E16),IF(J16=18,IF(2=1,QUOTIENT(C16,(IF(L16&gt;=128,CHOOSE(L16-128+1,C16,D16,E16,F16),L16))),IF(2=3,MOD(C16,(IF(L16&gt;=128,CHOOSE(L16-128+1,C16,D16,E16,F16),L16))),E16)),IF(J16=13,MOD(E16-1,256),E16)))))))))))))))</f>
        <v>0</v>
      </c>
      <c r="F17" cm="1">
        <f t="array" ref="F17">IF(M16=1,F16,IF(J16=15,F16,IF(J16=1,IF(K16=3,L16,F16),IF(J16=2,IF(K16=3,INDEX(N16:AC16,1,L16+1),F16),IF(J16=4,IF(K16=3,CHOOSE(L16+1,C16,D16,E16,F16),F16),IF(J16=5,IF(K16=3,MOD(F16+L16,256),F16),IF(J16=6,IF(K16=3,MOD(F16+CHOOSE(L16+1,C16,D16,E16,F16),256),F16),IF(J16=7,IF(K16=3,MOD(F16-L16,256),F16),IF(J16=8,IF(K16=3,MOD(F16-CHOOSE(L16+1,C16,D16,E16,F16),256),F16),IF(J16=12,IF(K16=3,MOD(F16*(IF(L16&gt;=128,CHOOSE(L16-128+1,C16,D16,E16,F16),L16)),256),F16),IF(J16=14,IF(K16=3,_xlfn.BITAND(F16,(IF(L16&gt;=128,CHOOSE(L16-128+1,C16,D16,E16,F16),L16))),F16),IF(J16=16,IF(K16=3,_xlfn.BITOR(F16,(IF(L16&gt;=128,CHOOSE(L16-128+1,C16,D16,E16,F16),L16))),F16),IF(J16=17,IF(K16=3,_xlfn.BITXOR(F16,(IF(L16&gt;=128,CHOOSE(L16-128+1,C16,D16,E16,F16),L16))),F16),IF(J16=18,IF(3=1,QUOTIENT(C16,(IF(L16&gt;=128,CHOOSE(L16-128+1,C16,D16,E16,F16),L16))),IF(3=3,MOD(C16,(IF(L16&gt;=128,CHOOSE(L16-128+1,C16,D16,E16,F16),L16))),F16)),IF(J16=13,F16,F16)))))))))))))))</f>
        <v>0</v>
      </c>
      <c r="G17">
        <f t="shared" si="2"/>
        <v>0</v>
      </c>
      <c r="H17">
        <f t="shared" si="3"/>
        <v>0</v>
      </c>
      <c r="I17">
        <f t="shared" si="4"/>
        <v>0</v>
      </c>
      <c r="J17" cm="1">
        <f t="array" ref="J17">INDEX(PROGRAM!$E$2:$E$257, B17+1)</f>
        <v>15</v>
      </c>
      <c r="K17" cm="1">
        <f t="array" ref="K17">INDEX(PROGRAM!$F$2:$F$257, B17+1)</f>
        <v>0</v>
      </c>
      <c r="L17" cm="1">
        <f t="array" ref="L17">INDEX(PROGRAM!$G$2:$G$257, B17+1)</f>
        <v>0</v>
      </c>
      <c r="M17">
        <f t="shared" si="5"/>
        <v>1</v>
      </c>
      <c r="N17">
        <f t="shared" si="6"/>
        <v>0</v>
      </c>
      <c r="O17">
        <f t="shared" si="7"/>
        <v>10</v>
      </c>
      <c r="P17">
        <f t="shared" si="8"/>
        <v>15</v>
      </c>
      <c r="Q17">
        <f t="shared" si="9"/>
        <v>0</v>
      </c>
      <c r="R17">
        <f t="shared" si="10"/>
        <v>0</v>
      </c>
      <c r="S17">
        <f t="shared" si="11"/>
        <v>0</v>
      </c>
      <c r="T17">
        <f t="shared" si="12"/>
        <v>0</v>
      </c>
      <c r="U17">
        <f t="shared" si="13"/>
        <v>5</v>
      </c>
      <c r="V17">
        <f t="shared" si="14"/>
        <v>0</v>
      </c>
      <c r="W17">
        <f t="shared" si="15"/>
        <v>0</v>
      </c>
      <c r="X17">
        <f t="shared" si="16"/>
        <v>3</v>
      </c>
      <c r="Y17">
        <f t="shared" si="17"/>
        <v>0</v>
      </c>
      <c r="Z17">
        <f t="shared" si="18"/>
        <v>0</v>
      </c>
      <c r="AA17">
        <f t="shared" si="19"/>
        <v>0</v>
      </c>
      <c r="AB17">
        <f t="shared" si="20"/>
        <v>0</v>
      </c>
      <c r="AC17">
        <f t="shared" si="21"/>
        <v>0</v>
      </c>
    </row>
    <row r="18" spans="1:29" x14ac:dyDescent="0.2">
      <c r="A18">
        <f t="shared" si="0"/>
        <v>16</v>
      </c>
      <c r="B18">
        <f t="shared" si="1"/>
        <v>4</v>
      </c>
      <c r="C18" cm="1">
        <f t="array" ref="C18">IF(M17=1,C17,IF(J17=15,C17,IF(J17=1,IF(K17=0,L17,C17),IF(J17=2,IF(K17=0,INDEX(N17:AC17,1,L17+1),C17),IF(J17=4,IF(K17=0,CHOOSE(L17+1,C17,D17,E17,F17),C17),IF(J17=5,IF(K17=0,MOD(C17+L17,256),C17),IF(J17=6,IF(K17=0,MOD(C17+CHOOSE(L17+1,C17,D17,E17,F17),256),C17),IF(J17=7,IF(K17=0,MOD(C17-L17,256),C17),IF(J17=8,IF(K17=0,MOD(C17-CHOOSE(L17+1,C17,D17,E17,F17),256),C17),IF(J17=12,IF(K17=0,MOD(C17*(IF(L17&gt;=128,CHOOSE(L17-128+1,C17,D17,E17,F17),L17)),256),C17),IF(J17=14,IF(K17=0,_xlfn.BITAND(C17,(IF(L17&gt;=128,CHOOSE(L17-128+1,C17,D17,E17,F17),L17))),C17),IF(J17=16,IF(K17=0,_xlfn.BITOR(C17,(IF(L17&gt;=128,CHOOSE(L17-128+1,C17,D17,E17,F17),L17))),C17),IF(J17=17,IF(K17=0,_xlfn.BITXOR(C17,(IF(L17&gt;=128,CHOOSE(L17-128+1,C17,D17,E17,F17),L17))),C17),IF(J17=18,IF(0=1,QUOTIENT(C17,(IF(L17&gt;=128,CHOOSE(L17-128+1,C17,D17,E17,F17),L17))),IF(0=3,MOD(C17,(IF(L17&gt;=128,CHOOSE(L17-128+1,C17,D17,E17,F17),L17))),C17)),IF(J17=13,C17,C17)))))))))))))))</f>
        <v>10</v>
      </c>
      <c r="D18" cm="1">
        <f t="array" ref="D18">IF(M17=1,D17,IF(J17=15,D17,IF(J17=1,IF(K17=1,L17,D17),IF(J17=2,IF(K17=1,INDEX(N17:AC17,1,L17+1),D17),IF(J17=4,IF(K17=1,CHOOSE(L17+1,C17,D17,E17,F17),D17),IF(J17=5,IF(K17=1,MOD(D17+L17,256),D17),IF(J17=6,IF(K17=1,MOD(D17+CHOOSE(L17+1,C17,D17,E17,F17),256),D17),IF(J17=7,IF(K17=1,MOD(D17-L17,256),D17),IF(J17=8,IF(K17=1,MOD(D17-CHOOSE(L17+1,C17,D17,E17,F17),256),D17),IF(J17=12,IF(K17=1,MOD(D17*(IF(L17&gt;=128,CHOOSE(L17-128+1,C17,D17,E17,F17),L17)),256),D17),IF(J17=14,IF(K17=1,_xlfn.BITAND(D17,(IF(L17&gt;=128,CHOOSE(L17-128+1,C17,D17,E17,F17),L17))),D17),IF(J17=16,IF(K17=1,_xlfn.BITOR(D17,(IF(L17&gt;=128,CHOOSE(L17-128+1,C17,D17,E17,F17),L17))),D17),IF(J17=17,IF(K17=1,_xlfn.BITXOR(D17,(IF(L17&gt;=128,CHOOSE(L17-128+1,C17,D17,E17,F17),L17))),D17),IF(J17=18,IF(1=1,QUOTIENT(C17,(IF(L17&gt;=128,CHOOSE(L17-128+1,C17,D17,E17,F17),L17))),IF(1=3,MOD(C17,(IF(L17&gt;=128,CHOOSE(L17-128+1,C17,D17,E17,F17),L17))),D17)),IF(J17=13,D17,D17)))))))))))))))</f>
        <v>5</v>
      </c>
      <c r="E18" cm="1">
        <f t="array" ref="E18">IF(M17=1,E17,IF(J17=15,E17,IF(J17=1,IF(K17=2,L17,E17),IF(J17=2,IF(K17=2,INDEX(N17:AC17,1,L17+1),E17),IF(J17=4,IF(K17=2,CHOOSE(L17+1,C17,D17,E17,F17),E17),IF(J17=5,IF(K17=2,MOD(E17+L17,256),E17),IF(J17=6,IF(K17=2,MOD(E17+CHOOSE(L17+1,C17,D17,E17,F17),256),E17),IF(J17=7,IF(K17=2,MOD(E17-L17,256),E17),IF(J17=8,IF(K17=2,MOD(E17-CHOOSE(L17+1,C17,D17,E17,F17),256),E17),IF(J17=12,IF(K17=2,MOD(E17*(IF(L17&gt;=128,CHOOSE(L17-128+1,C17,D17,E17,F17),L17)),256),E17),IF(J17=14,IF(K17=2,_xlfn.BITAND(E17,(IF(L17&gt;=128,CHOOSE(L17-128+1,C17,D17,E17,F17),L17))),E17),IF(J17=16,IF(K17=2,_xlfn.BITOR(E17,(IF(L17&gt;=128,CHOOSE(L17-128+1,C17,D17,E17,F17),L17))),E17),IF(J17=17,IF(K17=2,_xlfn.BITXOR(E17,(IF(L17&gt;=128,CHOOSE(L17-128+1,C17,D17,E17,F17),L17))),E17),IF(J17=18,IF(2=1,QUOTIENT(C17,(IF(L17&gt;=128,CHOOSE(L17-128+1,C17,D17,E17,F17),L17))),IF(2=3,MOD(C17,(IF(L17&gt;=128,CHOOSE(L17-128+1,C17,D17,E17,F17),L17))),E17)),IF(J17=13,MOD(E17-1,256),E17)))))))))))))))</f>
        <v>0</v>
      </c>
      <c r="F18" cm="1">
        <f t="array" ref="F18">IF(M17=1,F17,IF(J17=15,F17,IF(J17=1,IF(K17=3,L17,F17),IF(J17=2,IF(K17=3,INDEX(N17:AC17,1,L17+1),F17),IF(J17=4,IF(K17=3,CHOOSE(L17+1,C17,D17,E17,F17),F17),IF(J17=5,IF(K17=3,MOD(F17+L17,256),F17),IF(J17=6,IF(K17=3,MOD(F17+CHOOSE(L17+1,C17,D17,E17,F17),256),F17),IF(J17=7,IF(K17=3,MOD(F17-L17,256),F17),IF(J17=8,IF(K17=3,MOD(F17-CHOOSE(L17+1,C17,D17,E17,F17),256),F17),IF(J17=12,IF(K17=3,MOD(F17*(IF(L17&gt;=128,CHOOSE(L17-128+1,C17,D17,E17,F17),L17)),256),F17),IF(J17=14,IF(K17=3,_xlfn.BITAND(F17,(IF(L17&gt;=128,CHOOSE(L17-128+1,C17,D17,E17,F17),L17))),F17),IF(J17=16,IF(K17=3,_xlfn.BITOR(F17,(IF(L17&gt;=128,CHOOSE(L17-128+1,C17,D17,E17,F17),L17))),F17),IF(J17=17,IF(K17=3,_xlfn.BITXOR(F17,(IF(L17&gt;=128,CHOOSE(L17-128+1,C17,D17,E17,F17),L17))),F17),IF(J17=18,IF(3=1,QUOTIENT(C17,(IF(L17&gt;=128,CHOOSE(L17-128+1,C17,D17,E17,F17),L17))),IF(3=3,MOD(C17,(IF(L17&gt;=128,CHOOSE(L17-128+1,C17,D17,E17,F17),L17))),F17)),IF(J17=13,F17,F17)))))))))))))))</f>
        <v>0</v>
      </c>
      <c r="G18">
        <f t="shared" si="2"/>
        <v>0</v>
      </c>
      <c r="H18">
        <f t="shared" si="3"/>
        <v>0</v>
      </c>
      <c r="I18">
        <f t="shared" si="4"/>
        <v>0</v>
      </c>
      <c r="J18" cm="1">
        <f t="array" ref="J18">INDEX(PROGRAM!$E$2:$E$257, B18+1)</f>
        <v>15</v>
      </c>
      <c r="K18" cm="1">
        <f t="array" ref="K18">INDEX(PROGRAM!$F$2:$F$257, B18+1)</f>
        <v>0</v>
      </c>
      <c r="L18" cm="1">
        <f t="array" ref="L18">INDEX(PROGRAM!$G$2:$G$257, B18+1)</f>
        <v>0</v>
      </c>
      <c r="M18">
        <f t="shared" si="5"/>
        <v>1</v>
      </c>
      <c r="N18">
        <f t="shared" si="6"/>
        <v>0</v>
      </c>
      <c r="O18">
        <f t="shared" si="7"/>
        <v>10</v>
      </c>
      <c r="P18">
        <f t="shared" si="8"/>
        <v>15</v>
      </c>
      <c r="Q18">
        <f t="shared" si="9"/>
        <v>0</v>
      </c>
      <c r="R18">
        <f t="shared" si="10"/>
        <v>0</v>
      </c>
      <c r="S18">
        <f t="shared" si="11"/>
        <v>0</v>
      </c>
      <c r="T18">
        <f t="shared" si="12"/>
        <v>0</v>
      </c>
      <c r="U18">
        <f t="shared" si="13"/>
        <v>5</v>
      </c>
      <c r="V18">
        <f t="shared" si="14"/>
        <v>0</v>
      </c>
      <c r="W18">
        <f t="shared" si="15"/>
        <v>0</v>
      </c>
      <c r="X18">
        <f t="shared" si="16"/>
        <v>3</v>
      </c>
      <c r="Y18">
        <f t="shared" si="17"/>
        <v>0</v>
      </c>
      <c r="Z18">
        <f t="shared" si="18"/>
        <v>0</v>
      </c>
      <c r="AA18">
        <f t="shared" si="19"/>
        <v>0</v>
      </c>
      <c r="AB18">
        <f t="shared" si="20"/>
        <v>0</v>
      </c>
      <c r="AC18">
        <f t="shared" si="21"/>
        <v>0</v>
      </c>
    </row>
    <row r="19" spans="1:29" x14ac:dyDescent="0.2">
      <c r="A19">
        <f t="shared" si="0"/>
        <v>17</v>
      </c>
      <c r="B19">
        <f t="shared" si="1"/>
        <v>4</v>
      </c>
      <c r="C19" cm="1">
        <f t="array" ref="C19">IF(M18=1,C18,IF(J18=15,C18,IF(J18=1,IF(K18=0,L18,C18),IF(J18=2,IF(K18=0,INDEX(N18:AC18,1,L18+1),C18),IF(J18=4,IF(K18=0,CHOOSE(L18+1,C18,D18,E18,F18),C18),IF(J18=5,IF(K18=0,MOD(C18+L18,256),C18),IF(J18=6,IF(K18=0,MOD(C18+CHOOSE(L18+1,C18,D18,E18,F18),256),C18),IF(J18=7,IF(K18=0,MOD(C18-L18,256),C18),IF(J18=8,IF(K18=0,MOD(C18-CHOOSE(L18+1,C18,D18,E18,F18),256),C18),IF(J18=12,IF(K18=0,MOD(C18*(IF(L18&gt;=128,CHOOSE(L18-128+1,C18,D18,E18,F18),L18)),256),C18),IF(J18=14,IF(K18=0,_xlfn.BITAND(C18,(IF(L18&gt;=128,CHOOSE(L18-128+1,C18,D18,E18,F18),L18))),C18),IF(J18=16,IF(K18=0,_xlfn.BITOR(C18,(IF(L18&gt;=128,CHOOSE(L18-128+1,C18,D18,E18,F18),L18))),C18),IF(J18=17,IF(K18=0,_xlfn.BITXOR(C18,(IF(L18&gt;=128,CHOOSE(L18-128+1,C18,D18,E18,F18),L18))),C18),IF(J18=18,IF(0=1,QUOTIENT(C18,(IF(L18&gt;=128,CHOOSE(L18-128+1,C18,D18,E18,F18),L18))),IF(0=3,MOD(C18,(IF(L18&gt;=128,CHOOSE(L18-128+1,C18,D18,E18,F18),L18))),C18)),IF(J18=13,C18,C18)))))))))))))))</f>
        <v>10</v>
      </c>
      <c r="D19" cm="1">
        <f t="array" ref="D19">IF(M18=1,D18,IF(J18=15,D18,IF(J18=1,IF(K18=1,L18,D18),IF(J18=2,IF(K18=1,INDEX(N18:AC18,1,L18+1),D18),IF(J18=4,IF(K18=1,CHOOSE(L18+1,C18,D18,E18,F18),D18),IF(J18=5,IF(K18=1,MOD(D18+L18,256),D18),IF(J18=6,IF(K18=1,MOD(D18+CHOOSE(L18+1,C18,D18,E18,F18),256),D18),IF(J18=7,IF(K18=1,MOD(D18-L18,256),D18),IF(J18=8,IF(K18=1,MOD(D18-CHOOSE(L18+1,C18,D18,E18,F18),256),D18),IF(J18=12,IF(K18=1,MOD(D18*(IF(L18&gt;=128,CHOOSE(L18-128+1,C18,D18,E18,F18),L18)),256),D18),IF(J18=14,IF(K18=1,_xlfn.BITAND(D18,(IF(L18&gt;=128,CHOOSE(L18-128+1,C18,D18,E18,F18),L18))),D18),IF(J18=16,IF(K18=1,_xlfn.BITOR(D18,(IF(L18&gt;=128,CHOOSE(L18-128+1,C18,D18,E18,F18),L18))),D18),IF(J18=17,IF(K18=1,_xlfn.BITXOR(D18,(IF(L18&gt;=128,CHOOSE(L18-128+1,C18,D18,E18,F18),L18))),D18),IF(J18=18,IF(1=1,QUOTIENT(C18,(IF(L18&gt;=128,CHOOSE(L18-128+1,C18,D18,E18,F18),L18))),IF(1=3,MOD(C18,(IF(L18&gt;=128,CHOOSE(L18-128+1,C18,D18,E18,F18),L18))),D18)),IF(J18=13,D18,D18)))))))))))))))</f>
        <v>5</v>
      </c>
      <c r="E19" cm="1">
        <f t="array" ref="E19">IF(M18=1,E18,IF(J18=15,E18,IF(J18=1,IF(K18=2,L18,E18),IF(J18=2,IF(K18=2,INDEX(N18:AC18,1,L18+1),E18),IF(J18=4,IF(K18=2,CHOOSE(L18+1,C18,D18,E18,F18),E18),IF(J18=5,IF(K18=2,MOD(E18+L18,256),E18),IF(J18=6,IF(K18=2,MOD(E18+CHOOSE(L18+1,C18,D18,E18,F18),256),E18),IF(J18=7,IF(K18=2,MOD(E18-L18,256),E18),IF(J18=8,IF(K18=2,MOD(E18-CHOOSE(L18+1,C18,D18,E18,F18),256),E18),IF(J18=12,IF(K18=2,MOD(E18*(IF(L18&gt;=128,CHOOSE(L18-128+1,C18,D18,E18,F18),L18)),256),E18),IF(J18=14,IF(K18=2,_xlfn.BITAND(E18,(IF(L18&gt;=128,CHOOSE(L18-128+1,C18,D18,E18,F18),L18))),E18),IF(J18=16,IF(K18=2,_xlfn.BITOR(E18,(IF(L18&gt;=128,CHOOSE(L18-128+1,C18,D18,E18,F18),L18))),E18),IF(J18=17,IF(K18=2,_xlfn.BITXOR(E18,(IF(L18&gt;=128,CHOOSE(L18-128+1,C18,D18,E18,F18),L18))),E18),IF(J18=18,IF(2=1,QUOTIENT(C18,(IF(L18&gt;=128,CHOOSE(L18-128+1,C18,D18,E18,F18),L18))),IF(2=3,MOD(C18,(IF(L18&gt;=128,CHOOSE(L18-128+1,C18,D18,E18,F18),L18))),E18)),IF(J18=13,MOD(E18-1,256),E18)))))))))))))))</f>
        <v>0</v>
      </c>
      <c r="F19" cm="1">
        <f t="array" ref="F19">IF(M18=1,F18,IF(J18=15,F18,IF(J18=1,IF(K18=3,L18,F18),IF(J18=2,IF(K18=3,INDEX(N18:AC18,1,L18+1),F18),IF(J18=4,IF(K18=3,CHOOSE(L18+1,C18,D18,E18,F18),F18),IF(J18=5,IF(K18=3,MOD(F18+L18,256),F18),IF(J18=6,IF(K18=3,MOD(F18+CHOOSE(L18+1,C18,D18,E18,F18),256),F18),IF(J18=7,IF(K18=3,MOD(F18-L18,256),F18),IF(J18=8,IF(K18=3,MOD(F18-CHOOSE(L18+1,C18,D18,E18,F18),256),F18),IF(J18=12,IF(K18=3,MOD(F18*(IF(L18&gt;=128,CHOOSE(L18-128+1,C18,D18,E18,F18),L18)),256),F18),IF(J18=14,IF(K18=3,_xlfn.BITAND(F18,(IF(L18&gt;=128,CHOOSE(L18-128+1,C18,D18,E18,F18),L18))),F18),IF(J18=16,IF(K18=3,_xlfn.BITOR(F18,(IF(L18&gt;=128,CHOOSE(L18-128+1,C18,D18,E18,F18),L18))),F18),IF(J18=17,IF(K18=3,_xlfn.BITXOR(F18,(IF(L18&gt;=128,CHOOSE(L18-128+1,C18,D18,E18,F18),L18))),F18),IF(J18=18,IF(3=1,QUOTIENT(C18,(IF(L18&gt;=128,CHOOSE(L18-128+1,C18,D18,E18,F18),L18))),IF(3=3,MOD(C18,(IF(L18&gt;=128,CHOOSE(L18-128+1,C18,D18,E18,F18),L18))),F18)),IF(J18=13,F18,F18)))))))))))))))</f>
        <v>0</v>
      </c>
      <c r="G19">
        <f t="shared" si="2"/>
        <v>0</v>
      </c>
      <c r="H19">
        <f t="shared" si="3"/>
        <v>0</v>
      </c>
      <c r="I19">
        <f t="shared" si="4"/>
        <v>0</v>
      </c>
      <c r="J19" cm="1">
        <f t="array" ref="J19">INDEX(PROGRAM!$E$2:$E$257, B19+1)</f>
        <v>15</v>
      </c>
      <c r="K19" cm="1">
        <f t="array" ref="K19">INDEX(PROGRAM!$F$2:$F$257, B19+1)</f>
        <v>0</v>
      </c>
      <c r="L19" cm="1">
        <f t="array" ref="L19">INDEX(PROGRAM!$G$2:$G$257, B19+1)</f>
        <v>0</v>
      </c>
      <c r="M19">
        <f t="shared" si="5"/>
        <v>1</v>
      </c>
      <c r="N19">
        <f t="shared" si="6"/>
        <v>0</v>
      </c>
      <c r="O19">
        <f t="shared" si="7"/>
        <v>10</v>
      </c>
      <c r="P19">
        <f t="shared" si="8"/>
        <v>15</v>
      </c>
      <c r="Q19">
        <f t="shared" si="9"/>
        <v>0</v>
      </c>
      <c r="R19">
        <f t="shared" si="10"/>
        <v>0</v>
      </c>
      <c r="S19">
        <f t="shared" si="11"/>
        <v>0</v>
      </c>
      <c r="T19">
        <f t="shared" si="12"/>
        <v>0</v>
      </c>
      <c r="U19">
        <f t="shared" si="13"/>
        <v>5</v>
      </c>
      <c r="V19">
        <f t="shared" si="14"/>
        <v>0</v>
      </c>
      <c r="W19">
        <f t="shared" si="15"/>
        <v>0</v>
      </c>
      <c r="X19">
        <f t="shared" si="16"/>
        <v>3</v>
      </c>
      <c r="Y19">
        <f t="shared" si="17"/>
        <v>0</v>
      </c>
      <c r="Z19">
        <f t="shared" si="18"/>
        <v>0</v>
      </c>
      <c r="AA19">
        <f t="shared" si="19"/>
        <v>0</v>
      </c>
      <c r="AB19">
        <f t="shared" si="20"/>
        <v>0</v>
      </c>
      <c r="AC19">
        <f t="shared" si="21"/>
        <v>0</v>
      </c>
    </row>
    <row r="20" spans="1:29" x14ac:dyDescent="0.2">
      <c r="A20">
        <f t="shared" si="0"/>
        <v>18</v>
      </c>
      <c r="B20">
        <f t="shared" si="1"/>
        <v>4</v>
      </c>
      <c r="C20" cm="1">
        <f t="array" ref="C20">IF(M19=1,C19,IF(J19=15,C19,IF(J19=1,IF(K19=0,L19,C19),IF(J19=2,IF(K19=0,INDEX(N19:AC19,1,L19+1),C19),IF(J19=4,IF(K19=0,CHOOSE(L19+1,C19,D19,E19,F19),C19),IF(J19=5,IF(K19=0,MOD(C19+L19,256),C19),IF(J19=6,IF(K19=0,MOD(C19+CHOOSE(L19+1,C19,D19,E19,F19),256),C19),IF(J19=7,IF(K19=0,MOD(C19-L19,256),C19),IF(J19=8,IF(K19=0,MOD(C19-CHOOSE(L19+1,C19,D19,E19,F19),256),C19),IF(J19=12,IF(K19=0,MOD(C19*(IF(L19&gt;=128,CHOOSE(L19-128+1,C19,D19,E19,F19),L19)),256),C19),IF(J19=14,IF(K19=0,_xlfn.BITAND(C19,(IF(L19&gt;=128,CHOOSE(L19-128+1,C19,D19,E19,F19),L19))),C19),IF(J19=16,IF(K19=0,_xlfn.BITOR(C19,(IF(L19&gt;=128,CHOOSE(L19-128+1,C19,D19,E19,F19),L19))),C19),IF(J19=17,IF(K19=0,_xlfn.BITXOR(C19,(IF(L19&gt;=128,CHOOSE(L19-128+1,C19,D19,E19,F19),L19))),C19),IF(J19=18,IF(0=1,QUOTIENT(C19,(IF(L19&gt;=128,CHOOSE(L19-128+1,C19,D19,E19,F19),L19))),IF(0=3,MOD(C19,(IF(L19&gt;=128,CHOOSE(L19-128+1,C19,D19,E19,F19),L19))),C19)),IF(J19=13,C19,C19)))))))))))))))</f>
        <v>10</v>
      </c>
      <c r="D20" cm="1">
        <f t="array" ref="D20">IF(M19=1,D19,IF(J19=15,D19,IF(J19=1,IF(K19=1,L19,D19),IF(J19=2,IF(K19=1,INDEX(N19:AC19,1,L19+1),D19),IF(J19=4,IF(K19=1,CHOOSE(L19+1,C19,D19,E19,F19),D19),IF(J19=5,IF(K19=1,MOD(D19+L19,256),D19),IF(J19=6,IF(K19=1,MOD(D19+CHOOSE(L19+1,C19,D19,E19,F19),256),D19),IF(J19=7,IF(K19=1,MOD(D19-L19,256),D19),IF(J19=8,IF(K19=1,MOD(D19-CHOOSE(L19+1,C19,D19,E19,F19),256),D19),IF(J19=12,IF(K19=1,MOD(D19*(IF(L19&gt;=128,CHOOSE(L19-128+1,C19,D19,E19,F19),L19)),256),D19),IF(J19=14,IF(K19=1,_xlfn.BITAND(D19,(IF(L19&gt;=128,CHOOSE(L19-128+1,C19,D19,E19,F19),L19))),D19),IF(J19=16,IF(K19=1,_xlfn.BITOR(D19,(IF(L19&gt;=128,CHOOSE(L19-128+1,C19,D19,E19,F19),L19))),D19),IF(J19=17,IF(K19=1,_xlfn.BITXOR(D19,(IF(L19&gt;=128,CHOOSE(L19-128+1,C19,D19,E19,F19),L19))),D19),IF(J19=18,IF(1=1,QUOTIENT(C19,(IF(L19&gt;=128,CHOOSE(L19-128+1,C19,D19,E19,F19),L19))),IF(1=3,MOD(C19,(IF(L19&gt;=128,CHOOSE(L19-128+1,C19,D19,E19,F19),L19))),D19)),IF(J19=13,D19,D19)))))))))))))))</f>
        <v>5</v>
      </c>
      <c r="E20" cm="1">
        <f t="array" ref="E20">IF(M19=1,E19,IF(J19=15,E19,IF(J19=1,IF(K19=2,L19,E19),IF(J19=2,IF(K19=2,INDEX(N19:AC19,1,L19+1),E19),IF(J19=4,IF(K19=2,CHOOSE(L19+1,C19,D19,E19,F19),E19),IF(J19=5,IF(K19=2,MOD(E19+L19,256),E19),IF(J19=6,IF(K19=2,MOD(E19+CHOOSE(L19+1,C19,D19,E19,F19),256),E19),IF(J19=7,IF(K19=2,MOD(E19-L19,256),E19),IF(J19=8,IF(K19=2,MOD(E19-CHOOSE(L19+1,C19,D19,E19,F19),256),E19),IF(J19=12,IF(K19=2,MOD(E19*(IF(L19&gt;=128,CHOOSE(L19-128+1,C19,D19,E19,F19),L19)),256),E19),IF(J19=14,IF(K19=2,_xlfn.BITAND(E19,(IF(L19&gt;=128,CHOOSE(L19-128+1,C19,D19,E19,F19),L19))),E19),IF(J19=16,IF(K19=2,_xlfn.BITOR(E19,(IF(L19&gt;=128,CHOOSE(L19-128+1,C19,D19,E19,F19),L19))),E19),IF(J19=17,IF(K19=2,_xlfn.BITXOR(E19,(IF(L19&gt;=128,CHOOSE(L19-128+1,C19,D19,E19,F19),L19))),E19),IF(J19=18,IF(2=1,QUOTIENT(C19,(IF(L19&gt;=128,CHOOSE(L19-128+1,C19,D19,E19,F19),L19))),IF(2=3,MOD(C19,(IF(L19&gt;=128,CHOOSE(L19-128+1,C19,D19,E19,F19),L19))),E19)),IF(J19=13,MOD(E19-1,256),E19)))))))))))))))</f>
        <v>0</v>
      </c>
      <c r="F20" cm="1">
        <f t="array" ref="F20">IF(M19=1,F19,IF(J19=15,F19,IF(J19=1,IF(K19=3,L19,F19),IF(J19=2,IF(K19=3,INDEX(N19:AC19,1,L19+1),F19),IF(J19=4,IF(K19=3,CHOOSE(L19+1,C19,D19,E19,F19),F19),IF(J19=5,IF(K19=3,MOD(F19+L19,256),F19),IF(J19=6,IF(K19=3,MOD(F19+CHOOSE(L19+1,C19,D19,E19,F19),256),F19),IF(J19=7,IF(K19=3,MOD(F19-L19,256),F19),IF(J19=8,IF(K19=3,MOD(F19-CHOOSE(L19+1,C19,D19,E19,F19),256),F19),IF(J19=12,IF(K19=3,MOD(F19*(IF(L19&gt;=128,CHOOSE(L19-128+1,C19,D19,E19,F19),L19)),256),F19),IF(J19=14,IF(K19=3,_xlfn.BITAND(F19,(IF(L19&gt;=128,CHOOSE(L19-128+1,C19,D19,E19,F19),L19))),F19),IF(J19=16,IF(K19=3,_xlfn.BITOR(F19,(IF(L19&gt;=128,CHOOSE(L19-128+1,C19,D19,E19,F19),L19))),F19),IF(J19=17,IF(K19=3,_xlfn.BITXOR(F19,(IF(L19&gt;=128,CHOOSE(L19-128+1,C19,D19,E19,F19),L19))),F19),IF(J19=18,IF(3=1,QUOTIENT(C19,(IF(L19&gt;=128,CHOOSE(L19-128+1,C19,D19,E19,F19),L19))),IF(3=3,MOD(C19,(IF(L19&gt;=128,CHOOSE(L19-128+1,C19,D19,E19,F19),L19))),F19)),IF(J19=13,F19,F19)))))))))))))))</f>
        <v>0</v>
      </c>
      <c r="G20">
        <f t="shared" si="2"/>
        <v>0</v>
      </c>
      <c r="H20">
        <f t="shared" si="3"/>
        <v>0</v>
      </c>
      <c r="I20">
        <f t="shared" si="4"/>
        <v>0</v>
      </c>
      <c r="J20" cm="1">
        <f t="array" ref="J20">INDEX(PROGRAM!$E$2:$E$257, B20+1)</f>
        <v>15</v>
      </c>
      <c r="K20" cm="1">
        <f t="array" ref="K20">INDEX(PROGRAM!$F$2:$F$257, B20+1)</f>
        <v>0</v>
      </c>
      <c r="L20" cm="1">
        <f t="array" ref="L20">INDEX(PROGRAM!$G$2:$G$257, B20+1)</f>
        <v>0</v>
      </c>
      <c r="M20">
        <f t="shared" si="5"/>
        <v>1</v>
      </c>
      <c r="N20">
        <f t="shared" si="6"/>
        <v>0</v>
      </c>
      <c r="O20">
        <f t="shared" si="7"/>
        <v>10</v>
      </c>
      <c r="P20">
        <f t="shared" si="8"/>
        <v>15</v>
      </c>
      <c r="Q20">
        <f t="shared" si="9"/>
        <v>0</v>
      </c>
      <c r="R20">
        <f t="shared" si="10"/>
        <v>0</v>
      </c>
      <c r="S20">
        <f t="shared" si="11"/>
        <v>0</v>
      </c>
      <c r="T20">
        <f t="shared" si="12"/>
        <v>0</v>
      </c>
      <c r="U20">
        <f t="shared" si="13"/>
        <v>5</v>
      </c>
      <c r="V20">
        <f t="shared" si="14"/>
        <v>0</v>
      </c>
      <c r="W20">
        <f t="shared" si="15"/>
        <v>0</v>
      </c>
      <c r="X20">
        <f t="shared" si="16"/>
        <v>3</v>
      </c>
      <c r="Y20">
        <f t="shared" si="17"/>
        <v>0</v>
      </c>
      <c r="Z20">
        <f t="shared" si="18"/>
        <v>0</v>
      </c>
      <c r="AA20">
        <f t="shared" si="19"/>
        <v>0</v>
      </c>
      <c r="AB20">
        <f t="shared" si="20"/>
        <v>0</v>
      </c>
      <c r="AC20">
        <f t="shared" si="21"/>
        <v>0</v>
      </c>
    </row>
    <row r="21" spans="1:29" x14ac:dyDescent="0.2">
      <c r="A21">
        <f t="shared" si="0"/>
        <v>19</v>
      </c>
      <c r="B21">
        <f t="shared" si="1"/>
        <v>4</v>
      </c>
      <c r="C21" cm="1">
        <f t="array" ref="C21">IF(M20=1,C20,IF(J20=15,C20,IF(J20=1,IF(K20=0,L20,C20),IF(J20=2,IF(K20=0,INDEX(N20:AC20,1,L20+1),C20),IF(J20=4,IF(K20=0,CHOOSE(L20+1,C20,D20,E20,F20),C20),IF(J20=5,IF(K20=0,MOD(C20+L20,256),C20),IF(J20=6,IF(K20=0,MOD(C20+CHOOSE(L20+1,C20,D20,E20,F20),256),C20),IF(J20=7,IF(K20=0,MOD(C20-L20,256),C20),IF(J20=8,IF(K20=0,MOD(C20-CHOOSE(L20+1,C20,D20,E20,F20),256),C20),IF(J20=12,IF(K20=0,MOD(C20*(IF(L20&gt;=128,CHOOSE(L20-128+1,C20,D20,E20,F20),L20)),256),C20),IF(J20=14,IF(K20=0,_xlfn.BITAND(C20,(IF(L20&gt;=128,CHOOSE(L20-128+1,C20,D20,E20,F20),L20))),C20),IF(J20=16,IF(K20=0,_xlfn.BITOR(C20,(IF(L20&gt;=128,CHOOSE(L20-128+1,C20,D20,E20,F20),L20))),C20),IF(J20=17,IF(K20=0,_xlfn.BITXOR(C20,(IF(L20&gt;=128,CHOOSE(L20-128+1,C20,D20,E20,F20),L20))),C20),IF(J20=18,IF(0=1,QUOTIENT(C20,(IF(L20&gt;=128,CHOOSE(L20-128+1,C20,D20,E20,F20),L20))),IF(0=3,MOD(C20,(IF(L20&gt;=128,CHOOSE(L20-128+1,C20,D20,E20,F20),L20))),C20)),IF(J20=13,C20,C20)))))))))))))))</f>
        <v>10</v>
      </c>
      <c r="D21" cm="1">
        <f t="array" ref="D21">IF(M20=1,D20,IF(J20=15,D20,IF(J20=1,IF(K20=1,L20,D20),IF(J20=2,IF(K20=1,INDEX(N20:AC20,1,L20+1),D20),IF(J20=4,IF(K20=1,CHOOSE(L20+1,C20,D20,E20,F20),D20),IF(J20=5,IF(K20=1,MOD(D20+L20,256),D20),IF(J20=6,IF(K20=1,MOD(D20+CHOOSE(L20+1,C20,D20,E20,F20),256),D20),IF(J20=7,IF(K20=1,MOD(D20-L20,256),D20),IF(J20=8,IF(K20=1,MOD(D20-CHOOSE(L20+1,C20,D20,E20,F20),256),D20),IF(J20=12,IF(K20=1,MOD(D20*(IF(L20&gt;=128,CHOOSE(L20-128+1,C20,D20,E20,F20),L20)),256),D20),IF(J20=14,IF(K20=1,_xlfn.BITAND(D20,(IF(L20&gt;=128,CHOOSE(L20-128+1,C20,D20,E20,F20),L20))),D20),IF(J20=16,IF(K20=1,_xlfn.BITOR(D20,(IF(L20&gt;=128,CHOOSE(L20-128+1,C20,D20,E20,F20),L20))),D20),IF(J20=17,IF(K20=1,_xlfn.BITXOR(D20,(IF(L20&gt;=128,CHOOSE(L20-128+1,C20,D20,E20,F20),L20))),D20),IF(J20=18,IF(1=1,QUOTIENT(C20,(IF(L20&gt;=128,CHOOSE(L20-128+1,C20,D20,E20,F20),L20))),IF(1=3,MOD(C20,(IF(L20&gt;=128,CHOOSE(L20-128+1,C20,D20,E20,F20),L20))),D20)),IF(J20=13,D20,D20)))))))))))))))</f>
        <v>5</v>
      </c>
      <c r="E21" cm="1">
        <f t="array" ref="E21">IF(M20=1,E20,IF(J20=15,E20,IF(J20=1,IF(K20=2,L20,E20),IF(J20=2,IF(K20=2,INDEX(N20:AC20,1,L20+1),E20),IF(J20=4,IF(K20=2,CHOOSE(L20+1,C20,D20,E20,F20),E20),IF(J20=5,IF(K20=2,MOD(E20+L20,256),E20),IF(J20=6,IF(K20=2,MOD(E20+CHOOSE(L20+1,C20,D20,E20,F20),256),E20),IF(J20=7,IF(K20=2,MOD(E20-L20,256),E20),IF(J20=8,IF(K20=2,MOD(E20-CHOOSE(L20+1,C20,D20,E20,F20),256),E20),IF(J20=12,IF(K20=2,MOD(E20*(IF(L20&gt;=128,CHOOSE(L20-128+1,C20,D20,E20,F20),L20)),256),E20),IF(J20=14,IF(K20=2,_xlfn.BITAND(E20,(IF(L20&gt;=128,CHOOSE(L20-128+1,C20,D20,E20,F20),L20))),E20),IF(J20=16,IF(K20=2,_xlfn.BITOR(E20,(IF(L20&gt;=128,CHOOSE(L20-128+1,C20,D20,E20,F20),L20))),E20),IF(J20=17,IF(K20=2,_xlfn.BITXOR(E20,(IF(L20&gt;=128,CHOOSE(L20-128+1,C20,D20,E20,F20),L20))),E20),IF(J20=18,IF(2=1,QUOTIENT(C20,(IF(L20&gt;=128,CHOOSE(L20-128+1,C20,D20,E20,F20),L20))),IF(2=3,MOD(C20,(IF(L20&gt;=128,CHOOSE(L20-128+1,C20,D20,E20,F20),L20))),E20)),IF(J20=13,MOD(E20-1,256),E20)))))))))))))))</f>
        <v>0</v>
      </c>
      <c r="F21" cm="1">
        <f t="array" ref="F21">IF(M20=1,F20,IF(J20=15,F20,IF(J20=1,IF(K20=3,L20,F20),IF(J20=2,IF(K20=3,INDEX(N20:AC20,1,L20+1),F20),IF(J20=4,IF(K20=3,CHOOSE(L20+1,C20,D20,E20,F20),F20),IF(J20=5,IF(K20=3,MOD(F20+L20,256),F20),IF(J20=6,IF(K20=3,MOD(F20+CHOOSE(L20+1,C20,D20,E20,F20),256),F20),IF(J20=7,IF(K20=3,MOD(F20-L20,256),F20),IF(J20=8,IF(K20=3,MOD(F20-CHOOSE(L20+1,C20,D20,E20,F20),256),F20),IF(J20=12,IF(K20=3,MOD(F20*(IF(L20&gt;=128,CHOOSE(L20-128+1,C20,D20,E20,F20),L20)),256),F20),IF(J20=14,IF(K20=3,_xlfn.BITAND(F20,(IF(L20&gt;=128,CHOOSE(L20-128+1,C20,D20,E20,F20),L20))),F20),IF(J20=16,IF(K20=3,_xlfn.BITOR(F20,(IF(L20&gt;=128,CHOOSE(L20-128+1,C20,D20,E20,F20),L20))),F20),IF(J20=17,IF(K20=3,_xlfn.BITXOR(F20,(IF(L20&gt;=128,CHOOSE(L20-128+1,C20,D20,E20,F20),L20))),F20),IF(J20=18,IF(3=1,QUOTIENT(C20,(IF(L20&gt;=128,CHOOSE(L20-128+1,C20,D20,E20,F20),L20))),IF(3=3,MOD(C20,(IF(L20&gt;=128,CHOOSE(L20-128+1,C20,D20,E20,F20),L20))),F20)),IF(J20=13,F20,F20)))))))))))))))</f>
        <v>0</v>
      </c>
      <c r="G21">
        <f t="shared" si="2"/>
        <v>0</v>
      </c>
      <c r="H21">
        <f t="shared" si="3"/>
        <v>0</v>
      </c>
      <c r="I21">
        <f t="shared" si="4"/>
        <v>0</v>
      </c>
      <c r="J21" cm="1">
        <f t="array" ref="J21">INDEX(PROGRAM!$E$2:$E$257, B21+1)</f>
        <v>15</v>
      </c>
      <c r="K21" cm="1">
        <f t="array" ref="K21">INDEX(PROGRAM!$F$2:$F$257, B21+1)</f>
        <v>0</v>
      </c>
      <c r="L21" cm="1">
        <f t="array" ref="L21">INDEX(PROGRAM!$G$2:$G$257, B21+1)</f>
        <v>0</v>
      </c>
      <c r="M21">
        <f t="shared" si="5"/>
        <v>1</v>
      </c>
      <c r="N21">
        <f t="shared" si="6"/>
        <v>0</v>
      </c>
      <c r="O21">
        <f t="shared" si="7"/>
        <v>10</v>
      </c>
      <c r="P21">
        <f t="shared" si="8"/>
        <v>15</v>
      </c>
      <c r="Q21">
        <f t="shared" si="9"/>
        <v>0</v>
      </c>
      <c r="R21">
        <f t="shared" si="10"/>
        <v>0</v>
      </c>
      <c r="S21">
        <f t="shared" si="11"/>
        <v>0</v>
      </c>
      <c r="T21">
        <f t="shared" si="12"/>
        <v>0</v>
      </c>
      <c r="U21">
        <f t="shared" si="13"/>
        <v>5</v>
      </c>
      <c r="V21">
        <f t="shared" si="14"/>
        <v>0</v>
      </c>
      <c r="W21">
        <f t="shared" si="15"/>
        <v>0</v>
      </c>
      <c r="X21">
        <f t="shared" si="16"/>
        <v>3</v>
      </c>
      <c r="Y21">
        <f t="shared" si="17"/>
        <v>0</v>
      </c>
      <c r="Z21">
        <f t="shared" si="18"/>
        <v>0</v>
      </c>
      <c r="AA21">
        <f t="shared" si="19"/>
        <v>0</v>
      </c>
      <c r="AB21">
        <f t="shared" si="20"/>
        <v>0</v>
      </c>
      <c r="AC21">
        <f t="shared" si="21"/>
        <v>0</v>
      </c>
    </row>
    <row r="22" spans="1:29" x14ac:dyDescent="0.2">
      <c r="A22">
        <f t="shared" si="0"/>
        <v>20</v>
      </c>
      <c r="B22">
        <f t="shared" si="1"/>
        <v>4</v>
      </c>
      <c r="C22" cm="1">
        <f t="array" ref="C22">IF(M21=1,C21,IF(J21=15,C21,IF(J21=1,IF(K21=0,L21,C21),IF(J21=2,IF(K21=0,INDEX(N21:AC21,1,L21+1),C21),IF(J21=4,IF(K21=0,CHOOSE(L21+1,C21,D21,E21,F21),C21),IF(J21=5,IF(K21=0,MOD(C21+L21,256),C21),IF(J21=6,IF(K21=0,MOD(C21+CHOOSE(L21+1,C21,D21,E21,F21),256),C21),IF(J21=7,IF(K21=0,MOD(C21-L21,256),C21),IF(J21=8,IF(K21=0,MOD(C21-CHOOSE(L21+1,C21,D21,E21,F21),256),C21),IF(J21=12,IF(K21=0,MOD(C21*(IF(L21&gt;=128,CHOOSE(L21-128+1,C21,D21,E21,F21),L21)),256),C21),IF(J21=14,IF(K21=0,_xlfn.BITAND(C21,(IF(L21&gt;=128,CHOOSE(L21-128+1,C21,D21,E21,F21),L21))),C21),IF(J21=16,IF(K21=0,_xlfn.BITOR(C21,(IF(L21&gt;=128,CHOOSE(L21-128+1,C21,D21,E21,F21),L21))),C21),IF(J21=17,IF(K21=0,_xlfn.BITXOR(C21,(IF(L21&gt;=128,CHOOSE(L21-128+1,C21,D21,E21,F21),L21))),C21),IF(J21=18,IF(0=1,QUOTIENT(C21,(IF(L21&gt;=128,CHOOSE(L21-128+1,C21,D21,E21,F21),L21))),IF(0=3,MOD(C21,(IF(L21&gt;=128,CHOOSE(L21-128+1,C21,D21,E21,F21),L21))),C21)),IF(J21=13,C21,C21)))))))))))))))</f>
        <v>10</v>
      </c>
      <c r="D22" cm="1">
        <f t="array" ref="D22">IF(M21=1,D21,IF(J21=15,D21,IF(J21=1,IF(K21=1,L21,D21),IF(J21=2,IF(K21=1,INDEX(N21:AC21,1,L21+1),D21),IF(J21=4,IF(K21=1,CHOOSE(L21+1,C21,D21,E21,F21),D21),IF(J21=5,IF(K21=1,MOD(D21+L21,256),D21),IF(J21=6,IF(K21=1,MOD(D21+CHOOSE(L21+1,C21,D21,E21,F21),256),D21),IF(J21=7,IF(K21=1,MOD(D21-L21,256),D21),IF(J21=8,IF(K21=1,MOD(D21-CHOOSE(L21+1,C21,D21,E21,F21),256),D21),IF(J21=12,IF(K21=1,MOD(D21*(IF(L21&gt;=128,CHOOSE(L21-128+1,C21,D21,E21,F21),L21)),256),D21),IF(J21=14,IF(K21=1,_xlfn.BITAND(D21,(IF(L21&gt;=128,CHOOSE(L21-128+1,C21,D21,E21,F21),L21))),D21),IF(J21=16,IF(K21=1,_xlfn.BITOR(D21,(IF(L21&gt;=128,CHOOSE(L21-128+1,C21,D21,E21,F21),L21))),D21),IF(J21=17,IF(K21=1,_xlfn.BITXOR(D21,(IF(L21&gt;=128,CHOOSE(L21-128+1,C21,D21,E21,F21),L21))),D21),IF(J21=18,IF(1=1,QUOTIENT(C21,(IF(L21&gt;=128,CHOOSE(L21-128+1,C21,D21,E21,F21),L21))),IF(1=3,MOD(C21,(IF(L21&gt;=128,CHOOSE(L21-128+1,C21,D21,E21,F21),L21))),D21)),IF(J21=13,D21,D21)))))))))))))))</f>
        <v>5</v>
      </c>
      <c r="E22" cm="1">
        <f t="array" ref="E22">IF(M21=1,E21,IF(J21=15,E21,IF(J21=1,IF(K21=2,L21,E21),IF(J21=2,IF(K21=2,INDEX(N21:AC21,1,L21+1),E21),IF(J21=4,IF(K21=2,CHOOSE(L21+1,C21,D21,E21,F21),E21),IF(J21=5,IF(K21=2,MOD(E21+L21,256),E21),IF(J21=6,IF(K21=2,MOD(E21+CHOOSE(L21+1,C21,D21,E21,F21),256),E21),IF(J21=7,IF(K21=2,MOD(E21-L21,256),E21),IF(J21=8,IF(K21=2,MOD(E21-CHOOSE(L21+1,C21,D21,E21,F21),256),E21),IF(J21=12,IF(K21=2,MOD(E21*(IF(L21&gt;=128,CHOOSE(L21-128+1,C21,D21,E21,F21),L21)),256),E21),IF(J21=14,IF(K21=2,_xlfn.BITAND(E21,(IF(L21&gt;=128,CHOOSE(L21-128+1,C21,D21,E21,F21),L21))),E21),IF(J21=16,IF(K21=2,_xlfn.BITOR(E21,(IF(L21&gt;=128,CHOOSE(L21-128+1,C21,D21,E21,F21),L21))),E21),IF(J21=17,IF(K21=2,_xlfn.BITXOR(E21,(IF(L21&gt;=128,CHOOSE(L21-128+1,C21,D21,E21,F21),L21))),E21),IF(J21=18,IF(2=1,QUOTIENT(C21,(IF(L21&gt;=128,CHOOSE(L21-128+1,C21,D21,E21,F21),L21))),IF(2=3,MOD(C21,(IF(L21&gt;=128,CHOOSE(L21-128+1,C21,D21,E21,F21),L21))),E21)),IF(J21=13,MOD(E21-1,256),E21)))))))))))))))</f>
        <v>0</v>
      </c>
      <c r="F22" cm="1">
        <f t="array" ref="F22">IF(M21=1,F21,IF(J21=15,F21,IF(J21=1,IF(K21=3,L21,F21),IF(J21=2,IF(K21=3,INDEX(N21:AC21,1,L21+1),F21),IF(J21=4,IF(K21=3,CHOOSE(L21+1,C21,D21,E21,F21),F21),IF(J21=5,IF(K21=3,MOD(F21+L21,256),F21),IF(J21=6,IF(K21=3,MOD(F21+CHOOSE(L21+1,C21,D21,E21,F21),256),F21),IF(J21=7,IF(K21=3,MOD(F21-L21,256),F21),IF(J21=8,IF(K21=3,MOD(F21-CHOOSE(L21+1,C21,D21,E21,F21),256),F21),IF(J21=12,IF(K21=3,MOD(F21*(IF(L21&gt;=128,CHOOSE(L21-128+1,C21,D21,E21,F21),L21)),256),F21),IF(J21=14,IF(K21=3,_xlfn.BITAND(F21,(IF(L21&gt;=128,CHOOSE(L21-128+1,C21,D21,E21,F21),L21))),F21),IF(J21=16,IF(K21=3,_xlfn.BITOR(F21,(IF(L21&gt;=128,CHOOSE(L21-128+1,C21,D21,E21,F21),L21))),F21),IF(J21=17,IF(K21=3,_xlfn.BITXOR(F21,(IF(L21&gt;=128,CHOOSE(L21-128+1,C21,D21,E21,F21),L21))),F21),IF(J21=18,IF(3=1,QUOTIENT(C21,(IF(L21&gt;=128,CHOOSE(L21-128+1,C21,D21,E21,F21),L21))),IF(3=3,MOD(C21,(IF(L21&gt;=128,CHOOSE(L21-128+1,C21,D21,E21,F21),L21))),F21)),IF(J21=13,F21,F21)))))))))))))))</f>
        <v>0</v>
      </c>
      <c r="G22">
        <f t="shared" si="2"/>
        <v>0</v>
      </c>
      <c r="H22">
        <f t="shared" si="3"/>
        <v>0</v>
      </c>
      <c r="I22">
        <f t="shared" si="4"/>
        <v>0</v>
      </c>
      <c r="J22" cm="1">
        <f t="array" ref="J22">INDEX(PROGRAM!$E$2:$E$257, B22+1)</f>
        <v>15</v>
      </c>
      <c r="K22" cm="1">
        <f t="array" ref="K22">INDEX(PROGRAM!$F$2:$F$257, B22+1)</f>
        <v>0</v>
      </c>
      <c r="L22" cm="1">
        <f t="array" ref="L22">INDEX(PROGRAM!$G$2:$G$257, B22+1)</f>
        <v>0</v>
      </c>
      <c r="M22">
        <f t="shared" si="5"/>
        <v>1</v>
      </c>
      <c r="N22">
        <f t="shared" si="6"/>
        <v>0</v>
      </c>
      <c r="O22">
        <f t="shared" si="7"/>
        <v>10</v>
      </c>
      <c r="P22">
        <f t="shared" si="8"/>
        <v>15</v>
      </c>
      <c r="Q22">
        <f t="shared" si="9"/>
        <v>0</v>
      </c>
      <c r="R22">
        <f t="shared" si="10"/>
        <v>0</v>
      </c>
      <c r="S22">
        <f t="shared" si="11"/>
        <v>0</v>
      </c>
      <c r="T22">
        <f t="shared" si="12"/>
        <v>0</v>
      </c>
      <c r="U22">
        <f t="shared" si="13"/>
        <v>5</v>
      </c>
      <c r="V22">
        <f t="shared" si="14"/>
        <v>0</v>
      </c>
      <c r="W22">
        <f t="shared" si="15"/>
        <v>0</v>
      </c>
      <c r="X22">
        <f t="shared" si="16"/>
        <v>3</v>
      </c>
      <c r="Y22">
        <f t="shared" si="17"/>
        <v>0</v>
      </c>
      <c r="Z22">
        <f t="shared" si="18"/>
        <v>0</v>
      </c>
      <c r="AA22">
        <f t="shared" si="19"/>
        <v>0</v>
      </c>
      <c r="AB22">
        <f t="shared" si="20"/>
        <v>0</v>
      </c>
      <c r="AC22">
        <f t="shared" si="21"/>
        <v>0</v>
      </c>
    </row>
    <row r="23" spans="1:29" x14ac:dyDescent="0.2">
      <c r="A23">
        <f t="shared" si="0"/>
        <v>21</v>
      </c>
      <c r="B23">
        <f t="shared" si="1"/>
        <v>4</v>
      </c>
      <c r="C23" cm="1">
        <f t="array" ref="C23">IF(M22=1,C22,IF(J22=15,C22,IF(J22=1,IF(K22=0,L22,C22),IF(J22=2,IF(K22=0,INDEX(N22:AC22,1,L22+1),C22),IF(J22=4,IF(K22=0,CHOOSE(L22+1,C22,D22,E22,F22),C22),IF(J22=5,IF(K22=0,MOD(C22+L22,256),C22),IF(J22=6,IF(K22=0,MOD(C22+CHOOSE(L22+1,C22,D22,E22,F22),256),C22),IF(J22=7,IF(K22=0,MOD(C22-L22,256),C22),IF(J22=8,IF(K22=0,MOD(C22-CHOOSE(L22+1,C22,D22,E22,F22),256),C22),IF(J22=12,IF(K22=0,MOD(C22*(IF(L22&gt;=128,CHOOSE(L22-128+1,C22,D22,E22,F22),L22)),256),C22),IF(J22=14,IF(K22=0,_xlfn.BITAND(C22,(IF(L22&gt;=128,CHOOSE(L22-128+1,C22,D22,E22,F22),L22))),C22),IF(J22=16,IF(K22=0,_xlfn.BITOR(C22,(IF(L22&gt;=128,CHOOSE(L22-128+1,C22,D22,E22,F22),L22))),C22),IF(J22=17,IF(K22=0,_xlfn.BITXOR(C22,(IF(L22&gt;=128,CHOOSE(L22-128+1,C22,D22,E22,F22),L22))),C22),IF(J22=18,IF(0=1,QUOTIENT(C22,(IF(L22&gt;=128,CHOOSE(L22-128+1,C22,D22,E22,F22),L22))),IF(0=3,MOD(C22,(IF(L22&gt;=128,CHOOSE(L22-128+1,C22,D22,E22,F22),L22))),C22)),IF(J22=13,C22,C22)))))))))))))))</f>
        <v>10</v>
      </c>
      <c r="D23" cm="1">
        <f t="array" ref="D23">IF(M22=1,D22,IF(J22=15,D22,IF(J22=1,IF(K22=1,L22,D22),IF(J22=2,IF(K22=1,INDEX(N22:AC22,1,L22+1),D22),IF(J22=4,IF(K22=1,CHOOSE(L22+1,C22,D22,E22,F22),D22),IF(J22=5,IF(K22=1,MOD(D22+L22,256),D22),IF(J22=6,IF(K22=1,MOD(D22+CHOOSE(L22+1,C22,D22,E22,F22),256),D22),IF(J22=7,IF(K22=1,MOD(D22-L22,256),D22),IF(J22=8,IF(K22=1,MOD(D22-CHOOSE(L22+1,C22,D22,E22,F22),256),D22),IF(J22=12,IF(K22=1,MOD(D22*(IF(L22&gt;=128,CHOOSE(L22-128+1,C22,D22,E22,F22),L22)),256),D22),IF(J22=14,IF(K22=1,_xlfn.BITAND(D22,(IF(L22&gt;=128,CHOOSE(L22-128+1,C22,D22,E22,F22),L22))),D22),IF(J22=16,IF(K22=1,_xlfn.BITOR(D22,(IF(L22&gt;=128,CHOOSE(L22-128+1,C22,D22,E22,F22),L22))),D22),IF(J22=17,IF(K22=1,_xlfn.BITXOR(D22,(IF(L22&gt;=128,CHOOSE(L22-128+1,C22,D22,E22,F22),L22))),D22),IF(J22=18,IF(1=1,QUOTIENT(C22,(IF(L22&gt;=128,CHOOSE(L22-128+1,C22,D22,E22,F22),L22))),IF(1=3,MOD(C22,(IF(L22&gt;=128,CHOOSE(L22-128+1,C22,D22,E22,F22),L22))),D22)),IF(J22=13,D22,D22)))))))))))))))</f>
        <v>5</v>
      </c>
      <c r="E23" cm="1">
        <f t="array" ref="E23">IF(M22=1,E22,IF(J22=15,E22,IF(J22=1,IF(K22=2,L22,E22),IF(J22=2,IF(K22=2,INDEX(N22:AC22,1,L22+1),E22),IF(J22=4,IF(K22=2,CHOOSE(L22+1,C22,D22,E22,F22),E22),IF(J22=5,IF(K22=2,MOD(E22+L22,256),E22),IF(J22=6,IF(K22=2,MOD(E22+CHOOSE(L22+1,C22,D22,E22,F22),256),E22),IF(J22=7,IF(K22=2,MOD(E22-L22,256),E22),IF(J22=8,IF(K22=2,MOD(E22-CHOOSE(L22+1,C22,D22,E22,F22),256),E22),IF(J22=12,IF(K22=2,MOD(E22*(IF(L22&gt;=128,CHOOSE(L22-128+1,C22,D22,E22,F22),L22)),256),E22),IF(J22=14,IF(K22=2,_xlfn.BITAND(E22,(IF(L22&gt;=128,CHOOSE(L22-128+1,C22,D22,E22,F22),L22))),E22),IF(J22=16,IF(K22=2,_xlfn.BITOR(E22,(IF(L22&gt;=128,CHOOSE(L22-128+1,C22,D22,E22,F22),L22))),E22),IF(J22=17,IF(K22=2,_xlfn.BITXOR(E22,(IF(L22&gt;=128,CHOOSE(L22-128+1,C22,D22,E22,F22),L22))),E22),IF(J22=18,IF(2=1,QUOTIENT(C22,(IF(L22&gt;=128,CHOOSE(L22-128+1,C22,D22,E22,F22),L22))),IF(2=3,MOD(C22,(IF(L22&gt;=128,CHOOSE(L22-128+1,C22,D22,E22,F22),L22))),E22)),IF(J22=13,MOD(E22-1,256),E22)))))))))))))))</f>
        <v>0</v>
      </c>
      <c r="F23" cm="1">
        <f t="array" ref="F23">IF(M22=1,F22,IF(J22=15,F22,IF(J22=1,IF(K22=3,L22,F22),IF(J22=2,IF(K22=3,INDEX(N22:AC22,1,L22+1),F22),IF(J22=4,IF(K22=3,CHOOSE(L22+1,C22,D22,E22,F22),F22),IF(J22=5,IF(K22=3,MOD(F22+L22,256),F22),IF(J22=6,IF(K22=3,MOD(F22+CHOOSE(L22+1,C22,D22,E22,F22),256),F22),IF(J22=7,IF(K22=3,MOD(F22-L22,256),F22),IF(J22=8,IF(K22=3,MOD(F22-CHOOSE(L22+1,C22,D22,E22,F22),256),F22),IF(J22=12,IF(K22=3,MOD(F22*(IF(L22&gt;=128,CHOOSE(L22-128+1,C22,D22,E22,F22),L22)),256),F22),IF(J22=14,IF(K22=3,_xlfn.BITAND(F22,(IF(L22&gt;=128,CHOOSE(L22-128+1,C22,D22,E22,F22),L22))),F22),IF(J22=16,IF(K22=3,_xlfn.BITOR(F22,(IF(L22&gt;=128,CHOOSE(L22-128+1,C22,D22,E22,F22),L22))),F22),IF(J22=17,IF(K22=3,_xlfn.BITXOR(F22,(IF(L22&gt;=128,CHOOSE(L22-128+1,C22,D22,E22,F22),L22))),F22),IF(J22=18,IF(3=1,QUOTIENT(C22,(IF(L22&gt;=128,CHOOSE(L22-128+1,C22,D22,E22,F22),L22))),IF(3=3,MOD(C22,(IF(L22&gt;=128,CHOOSE(L22-128+1,C22,D22,E22,F22),L22))),F22)),IF(J22=13,F22,F22)))))))))))))))</f>
        <v>0</v>
      </c>
      <c r="G23">
        <f t="shared" si="2"/>
        <v>0</v>
      </c>
      <c r="H23">
        <f t="shared" si="3"/>
        <v>0</v>
      </c>
      <c r="I23">
        <f t="shared" si="4"/>
        <v>0</v>
      </c>
      <c r="J23" cm="1">
        <f t="array" ref="J23">INDEX(PROGRAM!$E$2:$E$257, B23+1)</f>
        <v>15</v>
      </c>
      <c r="K23" cm="1">
        <f t="array" ref="K23">INDEX(PROGRAM!$F$2:$F$257, B23+1)</f>
        <v>0</v>
      </c>
      <c r="L23" cm="1">
        <f t="array" ref="L23">INDEX(PROGRAM!$G$2:$G$257, B23+1)</f>
        <v>0</v>
      </c>
      <c r="M23">
        <f t="shared" si="5"/>
        <v>1</v>
      </c>
      <c r="N23">
        <f t="shared" si="6"/>
        <v>0</v>
      </c>
      <c r="O23">
        <f t="shared" si="7"/>
        <v>10</v>
      </c>
      <c r="P23">
        <f t="shared" si="8"/>
        <v>15</v>
      </c>
      <c r="Q23">
        <f t="shared" si="9"/>
        <v>0</v>
      </c>
      <c r="R23">
        <f t="shared" si="10"/>
        <v>0</v>
      </c>
      <c r="S23">
        <f t="shared" si="11"/>
        <v>0</v>
      </c>
      <c r="T23">
        <f t="shared" si="12"/>
        <v>0</v>
      </c>
      <c r="U23">
        <f t="shared" si="13"/>
        <v>5</v>
      </c>
      <c r="V23">
        <f t="shared" si="14"/>
        <v>0</v>
      </c>
      <c r="W23">
        <f t="shared" si="15"/>
        <v>0</v>
      </c>
      <c r="X23">
        <f t="shared" si="16"/>
        <v>3</v>
      </c>
      <c r="Y23">
        <f t="shared" si="17"/>
        <v>0</v>
      </c>
      <c r="Z23">
        <f t="shared" si="18"/>
        <v>0</v>
      </c>
      <c r="AA23">
        <f t="shared" si="19"/>
        <v>0</v>
      </c>
      <c r="AB23">
        <f t="shared" si="20"/>
        <v>0</v>
      </c>
      <c r="AC23">
        <f t="shared" si="21"/>
        <v>0</v>
      </c>
    </row>
    <row r="24" spans="1:29" x14ac:dyDescent="0.2">
      <c r="A24">
        <f t="shared" si="0"/>
        <v>22</v>
      </c>
      <c r="B24">
        <f t="shared" si="1"/>
        <v>4</v>
      </c>
      <c r="C24" cm="1">
        <f t="array" ref="C24">IF(M23=1,C23,IF(J23=15,C23,IF(J23=1,IF(K23=0,L23,C23),IF(J23=2,IF(K23=0,INDEX(N23:AC23,1,L23+1),C23),IF(J23=4,IF(K23=0,CHOOSE(L23+1,C23,D23,E23,F23),C23),IF(J23=5,IF(K23=0,MOD(C23+L23,256),C23),IF(J23=6,IF(K23=0,MOD(C23+CHOOSE(L23+1,C23,D23,E23,F23),256),C23),IF(J23=7,IF(K23=0,MOD(C23-L23,256),C23),IF(J23=8,IF(K23=0,MOD(C23-CHOOSE(L23+1,C23,D23,E23,F23),256),C23),IF(J23=12,IF(K23=0,MOD(C23*(IF(L23&gt;=128,CHOOSE(L23-128+1,C23,D23,E23,F23),L23)),256),C23),IF(J23=14,IF(K23=0,_xlfn.BITAND(C23,(IF(L23&gt;=128,CHOOSE(L23-128+1,C23,D23,E23,F23),L23))),C23),IF(J23=16,IF(K23=0,_xlfn.BITOR(C23,(IF(L23&gt;=128,CHOOSE(L23-128+1,C23,D23,E23,F23),L23))),C23),IF(J23=17,IF(K23=0,_xlfn.BITXOR(C23,(IF(L23&gt;=128,CHOOSE(L23-128+1,C23,D23,E23,F23),L23))),C23),IF(J23=18,IF(0=1,QUOTIENT(C23,(IF(L23&gt;=128,CHOOSE(L23-128+1,C23,D23,E23,F23),L23))),IF(0=3,MOD(C23,(IF(L23&gt;=128,CHOOSE(L23-128+1,C23,D23,E23,F23),L23))),C23)),IF(J23=13,C23,C23)))))))))))))))</f>
        <v>10</v>
      </c>
      <c r="D24" cm="1">
        <f t="array" ref="D24">IF(M23=1,D23,IF(J23=15,D23,IF(J23=1,IF(K23=1,L23,D23),IF(J23=2,IF(K23=1,INDEX(N23:AC23,1,L23+1),D23),IF(J23=4,IF(K23=1,CHOOSE(L23+1,C23,D23,E23,F23),D23),IF(J23=5,IF(K23=1,MOD(D23+L23,256),D23),IF(J23=6,IF(K23=1,MOD(D23+CHOOSE(L23+1,C23,D23,E23,F23),256),D23),IF(J23=7,IF(K23=1,MOD(D23-L23,256),D23),IF(J23=8,IF(K23=1,MOD(D23-CHOOSE(L23+1,C23,D23,E23,F23),256),D23),IF(J23=12,IF(K23=1,MOD(D23*(IF(L23&gt;=128,CHOOSE(L23-128+1,C23,D23,E23,F23),L23)),256),D23),IF(J23=14,IF(K23=1,_xlfn.BITAND(D23,(IF(L23&gt;=128,CHOOSE(L23-128+1,C23,D23,E23,F23),L23))),D23),IF(J23=16,IF(K23=1,_xlfn.BITOR(D23,(IF(L23&gt;=128,CHOOSE(L23-128+1,C23,D23,E23,F23),L23))),D23),IF(J23=17,IF(K23=1,_xlfn.BITXOR(D23,(IF(L23&gt;=128,CHOOSE(L23-128+1,C23,D23,E23,F23),L23))),D23),IF(J23=18,IF(1=1,QUOTIENT(C23,(IF(L23&gt;=128,CHOOSE(L23-128+1,C23,D23,E23,F23),L23))),IF(1=3,MOD(C23,(IF(L23&gt;=128,CHOOSE(L23-128+1,C23,D23,E23,F23),L23))),D23)),IF(J23=13,D23,D23)))))))))))))))</f>
        <v>5</v>
      </c>
      <c r="E24" cm="1">
        <f t="array" ref="E24">IF(M23=1,E23,IF(J23=15,E23,IF(J23=1,IF(K23=2,L23,E23),IF(J23=2,IF(K23=2,INDEX(N23:AC23,1,L23+1),E23),IF(J23=4,IF(K23=2,CHOOSE(L23+1,C23,D23,E23,F23),E23),IF(J23=5,IF(K23=2,MOD(E23+L23,256),E23),IF(J23=6,IF(K23=2,MOD(E23+CHOOSE(L23+1,C23,D23,E23,F23),256),E23),IF(J23=7,IF(K23=2,MOD(E23-L23,256),E23),IF(J23=8,IF(K23=2,MOD(E23-CHOOSE(L23+1,C23,D23,E23,F23),256),E23),IF(J23=12,IF(K23=2,MOD(E23*(IF(L23&gt;=128,CHOOSE(L23-128+1,C23,D23,E23,F23),L23)),256),E23),IF(J23=14,IF(K23=2,_xlfn.BITAND(E23,(IF(L23&gt;=128,CHOOSE(L23-128+1,C23,D23,E23,F23),L23))),E23),IF(J23=16,IF(K23=2,_xlfn.BITOR(E23,(IF(L23&gt;=128,CHOOSE(L23-128+1,C23,D23,E23,F23),L23))),E23),IF(J23=17,IF(K23=2,_xlfn.BITXOR(E23,(IF(L23&gt;=128,CHOOSE(L23-128+1,C23,D23,E23,F23),L23))),E23),IF(J23=18,IF(2=1,QUOTIENT(C23,(IF(L23&gt;=128,CHOOSE(L23-128+1,C23,D23,E23,F23),L23))),IF(2=3,MOD(C23,(IF(L23&gt;=128,CHOOSE(L23-128+1,C23,D23,E23,F23),L23))),E23)),IF(J23=13,MOD(E23-1,256),E23)))))))))))))))</f>
        <v>0</v>
      </c>
      <c r="F24" cm="1">
        <f t="array" ref="F24">IF(M23=1,F23,IF(J23=15,F23,IF(J23=1,IF(K23=3,L23,F23),IF(J23=2,IF(K23=3,INDEX(N23:AC23,1,L23+1),F23),IF(J23=4,IF(K23=3,CHOOSE(L23+1,C23,D23,E23,F23),F23),IF(J23=5,IF(K23=3,MOD(F23+L23,256),F23),IF(J23=6,IF(K23=3,MOD(F23+CHOOSE(L23+1,C23,D23,E23,F23),256),F23),IF(J23=7,IF(K23=3,MOD(F23-L23,256),F23),IF(J23=8,IF(K23=3,MOD(F23-CHOOSE(L23+1,C23,D23,E23,F23),256),F23),IF(J23=12,IF(K23=3,MOD(F23*(IF(L23&gt;=128,CHOOSE(L23-128+1,C23,D23,E23,F23),L23)),256),F23),IF(J23=14,IF(K23=3,_xlfn.BITAND(F23,(IF(L23&gt;=128,CHOOSE(L23-128+1,C23,D23,E23,F23),L23))),F23),IF(J23=16,IF(K23=3,_xlfn.BITOR(F23,(IF(L23&gt;=128,CHOOSE(L23-128+1,C23,D23,E23,F23),L23))),F23),IF(J23=17,IF(K23=3,_xlfn.BITXOR(F23,(IF(L23&gt;=128,CHOOSE(L23-128+1,C23,D23,E23,F23),L23))),F23),IF(J23=18,IF(3=1,QUOTIENT(C23,(IF(L23&gt;=128,CHOOSE(L23-128+1,C23,D23,E23,F23),L23))),IF(3=3,MOD(C23,(IF(L23&gt;=128,CHOOSE(L23-128+1,C23,D23,E23,F23),L23))),F23)),IF(J23=13,F23,F23)))))))))))))))</f>
        <v>0</v>
      </c>
      <c r="G24">
        <f t="shared" si="2"/>
        <v>0</v>
      </c>
      <c r="H24">
        <f t="shared" si="3"/>
        <v>0</v>
      </c>
      <c r="I24">
        <f t="shared" si="4"/>
        <v>0</v>
      </c>
      <c r="J24" cm="1">
        <f t="array" ref="J24">INDEX(PROGRAM!$E$2:$E$257, B24+1)</f>
        <v>15</v>
      </c>
      <c r="K24" cm="1">
        <f t="array" ref="K24">INDEX(PROGRAM!$F$2:$F$257, B24+1)</f>
        <v>0</v>
      </c>
      <c r="L24" cm="1">
        <f t="array" ref="L24">INDEX(PROGRAM!$G$2:$G$257, B24+1)</f>
        <v>0</v>
      </c>
      <c r="M24">
        <f t="shared" si="5"/>
        <v>1</v>
      </c>
      <c r="N24">
        <f t="shared" si="6"/>
        <v>0</v>
      </c>
      <c r="O24">
        <f t="shared" si="7"/>
        <v>10</v>
      </c>
      <c r="P24">
        <f t="shared" si="8"/>
        <v>15</v>
      </c>
      <c r="Q24">
        <f t="shared" si="9"/>
        <v>0</v>
      </c>
      <c r="R24">
        <f t="shared" si="10"/>
        <v>0</v>
      </c>
      <c r="S24">
        <f t="shared" si="11"/>
        <v>0</v>
      </c>
      <c r="T24">
        <f t="shared" si="12"/>
        <v>0</v>
      </c>
      <c r="U24">
        <f t="shared" si="13"/>
        <v>5</v>
      </c>
      <c r="V24">
        <f t="shared" si="14"/>
        <v>0</v>
      </c>
      <c r="W24">
        <f t="shared" si="15"/>
        <v>0</v>
      </c>
      <c r="X24">
        <f t="shared" si="16"/>
        <v>3</v>
      </c>
      <c r="Y24">
        <f t="shared" si="17"/>
        <v>0</v>
      </c>
      <c r="Z24">
        <f t="shared" si="18"/>
        <v>0</v>
      </c>
      <c r="AA24">
        <f t="shared" si="19"/>
        <v>0</v>
      </c>
      <c r="AB24">
        <f t="shared" si="20"/>
        <v>0</v>
      </c>
      <c r="AC24">
        <f t="shared" si="21"/>
        <v>0</v>
      </c>
    </row>
    <row r="25" spans="1:29" x14ac:dyDescent="0.2">
      <c r="A25">
        <f t="shared" si="0"/>
        <v>23</v>
      </c>
      <c r="B25">
        <f t="shared" si="1"/>
        <v>4</v>
      </c>
      <c r="C25" cm="1">
        <f t="array" ref="C25">IF(M24=1,C24,IF(J24=15,C24,IF(J24=1,IF(K24=0,L24,C24),IF(J24=2,IF(K24=0,INDEX(N24:AC24,1,L24+1),C24),IF(J24=4,IF(K24=0,CHOOSE(L24+1,C24,D24,E24,F24),C24),IF(J24=5,IF(K24=0,MOD(C24+L24,256),C24),IF(J24=6,IF(K24=0,MOD(C24+CHOOSE(L24+1,C24,D24,E24,F24),256),C24),IF(J24=7,IF(K24=0,MOD(C24-L24,256),C24),IF(J24=8,IF(K24=0,MOD(C24-CHOOSE(L24+1,C24,D24,E24,F24),256),C24),IF(J24=12,IF(K24=0,MOD(C24*(IF(L24&gt;=128,CHOOSE(L24-128+1,C24,D24,E24,F24),L24)),256),C24),IF(J24=14,IF(K24=0,_xlfn.BITAND(C24,(IF(L24&gt;=128,CHOOSE(L24-128+1,C24,D24,E24,F24),L24))),C24),IF(J24=16,IF(K24=0,_xlfn.BITOR(C24,(IF(L24&gt;=128,CHOOSE(L24-128+1,C24,D24,E24,F24),L24))),C24),IF(J24=17,IF(K24=0,_xlfn.BITXOR(C24,(IF(L24&gt;=128,CHOOSE(L24-128+1,C24,D24,E24,F24),L24))),C24),IF(J24=18,IF(0=1,QUOTIENT(C24,(IF(L24&gt;=128,CHOOSE(L24-128+1,C24,D24,E24,F24),L24))),IF(0=3,MOD(C24,(IF(L24&gt;=128,CHOOSE(L24-128+1,C24,D24,E24,F24),L24))),C24)),IF(J24=13,C24,C24)))))))))))))))</f>
        <v>10</v>
      </c>
      <c r="D25" cm="1">
        <f t="array" ref="D25">IF(M24=1,D24,IF(J24=15,D24,IF(J24=1,IF(K24=1,L24,D24),IF(J24=2,IF(K24=1,INDEX(N24:AC24,1,L24+1),D24),IF(J24=4,IF(K24=1,CHOOSE(L24+1,C24,D24,E24,F24),D24),IF(J24=5,IF(K24=1,MOD(D24+L24,256),D24),IF(J24=6,IF(K24=1,MOD(D24+CHOOSE(L24+1,C24,D24,E24,F24),256),D24),IF(J24=7,IF(K24=1,MOD(D24-L24,256),D24),IF(J24=8,IF(K24=1,MOD(D24-CHOOSE(L24+1,C24,D24,E24,F24),256),D24),IF(J24=12,IF(K24=1,MOD(D24*(IF(L24&gt;=128,CHOOSE(L24-128+1,C24,D24,E24,F24),L24)),256),D24),IF(J24=14,IF(K24=1,_xlfn.BITAND(D24,(IF(L24&gt;=128,CHOOSE(L24-128+1,C24,D24,E24,F24),L24))),D24),IF(J24=16,IF(K24=1,_xlfn.BITOR(D24,(IF(L24&gt;=128,CHOOSE(L24-128+1,C24,D24,E24,F24),L24))),D24),IF(J24=17,IF(K24=1,_xlfn.BITXOR(D24,(IF(L24&gt;=128,CHOOSE(L24-128+1,C24,D24,E24,F24),L24))),D24),IF(J24=18,IF(1=1,QUOTIENT(C24,(IF(L24&gt;=128,CHOOSE(L24-128+1,C24,D24,E24,F24),L24))),IF(1=3,MOD(C24,(IF(L24&gt;=128,CHOOSE(L24-128+1,C24,D24,E24,F24),L24))),D24)),IF(J24=13,D24,D24)))))))))))))))</f>
        <v>5</v>
      </c>
      <c r="E25" cm="1">
        <f t="array" ref="E25">IF(M24=1,E24,IF(J24=15,E24,IF(J24=1,IF(K24=2,L24,E24),IF(J24=2,IF(K24=2,INDEX(N24:AC24,1,L24+1),E24),IF(J24=4,IF(K24=2,CHOOSE(L24+1,C24,D24,E24,F24),E24),IF(J24=5,IF(K24=2,MOD(E24+L24,256),E24),IF(J24=6,IF(K24=2,MOD(E24+CHOOSE(L24+1,C24,D24,E24,F24),256),E24),IF(J24=7,IF(K24=2,MOD(E24-L24,256),E24),IF(J24=8,IF(K24=2,MOD(E24-CHOOSE(L24+1,C24,D24,E24,F24),256),E24),IF(J24=12,IF(K24=2,MOD(E24*(IF(L24&gt;=128,CHOOSE(L24-128+1,C24,D24,E24,F24),L24)),256),E24),IF(J24=14,IF(K24=2,_xlfn.BITAND(E24,(IF(L24&gt;=128,CHOOSE(L24-128+1,C24,D24,E24,F24),L24))),E24),IF(J24=16,IF(K24=2,_xlfn.BITOR(E24,(IF(L24&gt;=128,CHOOSE(L24-128+1,C24,D24,E24,F24),L24))),E24),IF(J24=17,IF(K24=2,_xlfn.BITXOR(E24,(IF(L24&gt;=128,CHOOSE(L24-128+1,C24,D24,E24,F24),L24))),E24),IF(J24=18,IF(2=1,QUOTIENT(C24,(IF(L24&gt;=128,CHOOSE(L24-128+1,C24,D24,E24,F24),L24))),IF(2=3,MOD(C24,(IF(L24&gt;=128,CHOOSE(L24-128+1,C24,D24,E24,F24),L24))),E24)),IF(J24=13,MOD(E24-1,256),E24)))))))))))))))</f>
        <v>0</v>
      </c>
      <c r="F25" cm="1">
        <f t="array" ref="F25">IF(M24=1,F24,IF(J24=15,F24,IF(J24=1,IF(K24=3,L24,F24),IF(J24=2,IF(K24=3,INDEX(N24:AC24,1,L24+1),F24),IF(J24=4,IF(K24=3,CHOOSE(L24+1,C24,D24,E24,F24),F24),IF(J24=5,IF(K24=3,MOD(F24+L24,256),F24),IF(J24=6,IF(K24=3,MOD(F24+CHOOSE(L24+1,C24,D24,E24,F24),256),F24),IF(J24=7,IF(K24=3,MOD(F24-L24,256),F24),IF(J24=8,IF(K24=3,MOD(F24-CHOOSE(L24+1,C24,D24,E24,F24),256),F24),IF(J24=12,IF(K24=3,MOD(F24*(IF(L24&gt;=128,CHOOSE(L24-128+1,C24,D24,E24,F24),L24)),256),F24),IF(J24=14,IF(K24=3,_xlfn.BITAND(F24,(IF(L24&gt;=128,CHOOSE(L24-128+1,C24,D24,E24,F24),L24))),F24),IF(J24=16,IF(K24=3,_xlfn.BITOR(F24,(IF(L24&gt;=128,CHOOSE(L24-128+1,C24,D24,E24,F24),L24))),F24),IF(J24=17,IF(K24=3,_xlfn.BITXOR(F24,(IF(L24&gt;=128,CHOOSE(L24-128+1,C24,D24,E24,F24),L24))),F24),IF(J24=18,IF(3=1,QUOTIENT(C24,(IF(L24&gt;=128,CHOOSE(L24-128+1,C24,D24,E24,F24),L24))),IF(3=3,MOD(C24,(IF(L24&gt;=128,CHOOSE(L24-128+1,C24,D24,E24,F24),L24))),F24)),IF(J24=13,F24,F24)))))))))))))))</f>
        <v>0</v>
      </c>
      <c r="G25">
        <f t="shared" si="2"/>
        <v>0</v>
      </c>
      <c r="H25">
        <f t="shared" si="3"/>
        <v>0</v>
      </c>
      <c r="I25">
        <f t="shared" si="4"/>
        <v>0</v>
      </c>
      <c r="J25" cm="1">
        <f t="array" ref="J25">INDEX(PROGRAM!$E$2:$E$257, B25+1)</f>
        <v>15</v>
      </c>
      <c r="K25" cm="1">
        <f t="array" ref="K25">INDEX(PROGRAM!$F$2:$F$257, B25+1)</f>
        <v>0</v>
      </c>
      <c r="L25" cm="1">
        <f t="array" ref="L25">INDEX(PROGRAM!$G$2:$G$257, B25+1)</f>
        <v>0</v>
      </c>
      <c r="M25">
        <f t="shared" si="5"/>
        <v>1</v>
      </c>
      <c r="N25">
        <f t="shared" si="6"/>
        <v>0</v>
      </c>
      <c r="O25">
        <f t="shared" si="7"/>
        <v>10</v>
      </c>
      <c r="P25">
        <f t="shared" si="8"/>
        <v>15</v>
      </c>
      <c r="Q25">
        <f t="shared" si="9"/>
        <v>0</v>
      </c>
      <c r="R25">
        <f t="shared" si="10"/>
        <v>0</v>
      </c>
      <c r="S25">
        <f t="shared" si="11"/>
        <v>0</v>
      </c>
      <c r="T25">
        <f t="shared" si="12"/>
        <v>0</v>
      </c>
      <c r="U25">
        <f t="shared" si="13"/>
        <v>5</v>
      </c>
      <c r="V25">
        <f t="shared" si="14"/>
        <v>0</v>
      </c>
      <c r="W25">
        <f t="shared" si="15"/>
        <v>0</v>
      </c>
      <c r="X25">
        <f t="shared" si="16"/>
        <v>3</v>
      </c>
      <c r="Y25">
        <f t="shared" si="17"/>
        <v>0</v>
      </c>
      <c r="Z25">
        <f t="shared" si="18"/>
        <v>0</v>
      </c>
      <c r="AA25">
        <f t="shared" si="19"/>
        <v>0</v>
      </c>
      <c r="AB25">
        <f t="shared" si="20"/>
        <v>0</v>
      </c>
      <c r="AC25">
        <f t="shared" si="21"/>
        <v>0</v>
      </c>
    </row>
    <row r="26" spans="1:29" x14ac:dyDescent="0.2">
      <c r="A26">
        <f t="shared" si="0"/>
        <v>24</v>
      </c>
      <c r="B26">
        <f t="shared" si="1"/>
        <v>4</v>
      </c>
      <c r="C26" cm="1">
        <f t="array" ref="C26">IF(M25=1,C25,IF(J25=15,C25,IF(J25=1,IF(K25=0,L25,C25),IF(J25=2,IF(K25=0,INDEX(N25:AC25,1,L25+1),C25),IF(J25=4,IF(K25=0,CHOOSE(L25+1,C25,D25,E25,F25),C25),IF(J25=5,IF(K25=0,MOD(C25+L25,256),C25),IF(J25=6,IF(K25=0,MOD(C25+CHOOSE(L25+1,C25,D25,E25,F25),256),C25),IF(J25=7,IF(K25=0,MOD(C25-L25,256),C25),IF(J25=8,IF(K25=0,MOD(C25-CHOOSE(L25+1,C25,D25,E25,F25),256),C25),IF(J25=12,IF(K25=0,MOD(C25*(IF(L25&gt;=128,CHOOSE(L25-128+1,C25,D25,E25,F25),L25)),256),C25),IF(J25=14,IF(K25=0,_xlfn.BITAND(C25,(IF(L25&gt;=128,CHOOSE(L25-128+1,C25,D25,E25,F25),L25))),C25),IF(J25=16,IF(K25=0,_xlfn.BITOR(C25,(IF(L25&gt;=128,CHOOSE(L25-128+1,C25,D25,E25,F25),L25))),C25),IF(J25=17,IF(K25=0,_xlfn.BITXOR(C25,(IF(L25&gt;=128,CHOOSE(L25-128+1,C25,D25,E25,F25),L25))),C25),IF(J25=18,IF(0=1,QUOTIENT(C25,(IF(L25&gt;=128,CHOOSE(L25-128+1,C25,D25,E25,F25),L25))),IF(0=3,MOD(C25,(IF(L25&gt;=128,CHOOSE(L25-128+1,C25,D25,E25,F25),L25))),C25)),IF(J25=13,C25,C25)))))))))))))))</f>
        <v>10</v>
      </c>
      <c r="D26" cm="1">
        <f t="array" ref="D26">IF(M25=1,D25,IF(J25=15,D25,IF(J25=1,IF(K25=1,L25,D25),IF(J25=2,IF(K25=1,INDEX(N25:AC25,1,L25+1),D25),IF(J25=4,IF(K25=1,CHOOSE(L25+1,C25,D25,E25,F25),D25),IF(J25=5,IF(K25=1,MOD(D25+L25,256),D25),IF(J25=6,IF(K25=1,MOD(D25+CHOOSE(L25+1,C25,D25,E25,F25),256),D25),IF(J25=7,IF(K25=1,MOD(D25-L25,256),D25),IF(J25=8,IF(K25=1,MOD(D25-CHOOSE(L25+1,C25,D25,E25,F25),256),D25),IF(J25=12,IF(K25=1,MOD(D25*(IF(L25&gt;=128,CHOOSE(L25-128+1,C25,D25,E25,F25),L25)),256),D25),IF(J25=14,IF(K25=1,_xlfn.BITAND(D25,(IF(L25&gt;=128,CHOOSE(L25-128+1,C25,D25,E25,F25),L25))),D25),IF(J25=16,IF(K25=1,_xlfn.BITOR(D25,(IF(L25&gt;=128,CHOOSE(L25-128+1,C25,D25,E25,F25),L25))),D25),IF(J25=17,IF(K25=1,_xlfn.BITXOR(D25,(IF(L25&gt;=128,CHOOSE(L25-128+1,C25,D25,E25,F25),L25))),D25),IF(J25=18,IF(1=1,QUOTIENT(C25,(IF(L25&gt;=128,CHOOSE(L25-128+1,C25,D25,E25,F25),L25))),IF(1=3,MOD(C25,(IF(L25&gt;=128,CHOOSE(L25-128+1,C25,D25,E25,F25),L25))),D25)),IF(J25=13,D25,D25)))))))))))))))</f>
        <v>5</v>
      </c>
      <c r="E26" cm="1">
        <f t="array" ref="E26">IF(M25=1,E25,IF(J25=15,E25,IF(J25=1,IF(K25=2,L25,E25),IF(J25=2,IF(K25=2,INDEX(N25:AC25,1,L25+1),E25),IF(J25=4,IF(K25=2,CHOOSE(L25+1,C25,D25,E25,F25),E25),IF(J25=5,IF(K25=2,MOD(E25+L25,256),E25),IF(J25=6,IF(K25=2,MOD(E25+CHOOSE(L25+1,C25,D25,E25,F25),256),E25),IF(J25=7,IF(K25=2,MOD(E25-L25,256),E25),IF(J25=8,IF(K25=2,MOD(E25-CHOOSE(L25+1,C25,D25,E25,F25),256),E25),IF(J25=12,IF(K25=2,MOD(E25*(IF(L25&gt;=128,CHOOSE(L25-128+1,C25,D25,E25,F25),L25)),256),E25),IF(J25=14,IF(K25=2,_xlfn.BITAND(E25,(IF(L25&gt;=128,CHOOSE(L25-128+1,C25,D25,E25,F25),L25))),E25),IF(J25=16,IF(K25=2,_xlfn.BITOR(E25,(IF(L25&gt;=128,CHOOSE(L25-128+1,C25,D25,E25,F25),L25))),E25),IF(J25=17,IF(K25=2,_xlfn.BITXOR(E25,(IF(L25&gt;=128,CHOOSE(L25-128+1,C25,D25,E25,F25),L25))),E25),IF(J25=18,IF(2=1,QUOTIENT(C25,(IF(L25&gt;=128,CHOOSE(L25-128+1,C25,D25,E25,F25),L25))),IF(2=3,MOD(C25,(IF(L25&gt;=128,CHOOSE(L25-128+1,C25,D25,E25,F25),L25))),E25)),IF(J25=13,MOD(E25-1,256),E25)))))))))))))))</f>
        <v>0</v>
      </c>
      <c r="F26" cm="1">
        <f t="array" ref="F26">IF(M25=1,F25,IF(J25=15,F25,IF(J25=1,IF(K25=3,L25,F25),IF(J25=2,IF(K25=3,INDEX(N25:AC25,1,L25+1),F25),IF(J25=4,IF(K25=3,CHOOSE(L25+1,C25,D25,E25,F25),F25),IF(J25=5,IF(K25=3,MOD(F25+L25,256),F25),IF(J25=6,IF(K25=3,MOD(F25+CHOOSE(L25+1,C25,D25,E25,F25),256),F25),IF(J25=7,IF(K25=3,MOD(F25-L25,256),F25),IF(J25=8,IF(K25=3,MOD(F25-CHOOSE(L25+1,C25,D25,E25,F25),256),F25),IF(J25=12,IF(K25=3,MOD(F25*(IF(L25&gt;=128,CHOOSE(L25-128+1,C25,D25,E25,F25),L25)),256),F25),IF(J25=14,IF(K25=3,_xlfn.BITAND(F25,(IF(L25&gt;=128,CHOOSE(L25-128+1,C25,D25,E25,F25),L25))),F25),IF(J25=16,IF(K25=3,_xlfn.BITOR(F25,(IF(L25&gt;=128,CHOOSE(L25-128+1,C25,D25,E25,F25),L25))),F25),IF(J25=17,IF(K25=3,_xlfn.BITXOR(F25,(IF(L25&gt;=128,CHOOSE(L25-128+1,C25,D25,E25,F25),L25))),F25),IF(J25=18,IF(3=1,QUOTIENT(C25,(IF(L25&gt;=128,CHOOSE(L25-128+1,C25,D25,E25,F25),L25))),IF(3=3,MOD(C25,(IF(L25&gt;=128,CHOOSE(L25-128+1,C25,D25,E25,F25),L25))),F25)),IF(J25=13,F25,F25)))))))))))))))</f>
        <v>0</v>
      </c>
      <c r="G26">
        <f t="shared" si="2"/>
        <v>0</v>
      </c>
      <c r="H26">
        <f t="shared" si="3"/>
        <v>0</v>
      </c>
      <c r="I26">
        <f t="shared" si="4"/>
        <v>0</v>
      </c>
      <c r="J26" cm="1">
        <f t="array" ref="J26">INDEX(PROGRAM!$E$2:$E$257, B26+1)</f>
        <v>15</v>
      </c>
      <c r="K26" cm="1">
        <f t="array" ref="K26">INDEX(PROGRAM!$F$2:$F$257, B26+1)</f>
        <v>0</v>
      </c>
      <c r="L26" cm="1">
        <f t="array" ref="L26">INDEX(PROGRAM!$G$2:$G$257, B26+1)</f>
        <v>0</v>
      </c>
      <c r="M26">
        <f t="shared" si="5"/>
        <v>1</v>
      </c>
      <c r="N26">
        <f t="shared" si="6"/>
        <v>0</v>
      </c>
      <c r="O26">
        <f t="shared" si="7"/>
        <v>10</v>
      </c>
      <c r="P26">
        <f t="shared" si="8"/>
        <v>15</v>
      </c>
      <c r="Q26">
        <f t="shared" si="9"/>
        <v>0</v>
      </c>
      <c r="R26">
        <f t="shared" si="10"/>
        <v>0</v>
      </c>
      <c r="S26">
        <f t="shared" si="11"/>
        <v>0</v>
      </c>
      <c r="T26">
        <f t="shared" si="12"/>
        <v>0</v>
      </c>
      <c r="U26">
        <f t="shared" si="13"/>
        <v>5</v>
      </c>
      <c r="V26">
        <f t="shared" si="14"/>
        <v>0</v>
      </c>
      <c r="W26">
        <f t="shared" si="15"/>
        <v>0</v>
      </c>
      <c r="X26">
        <f t="shared" si="16"/>
        <v>3</v>
      </c>
      <c r="Y26">
        <f t="shared" si="17"/>
        <v>0</v>
      </c>
      <c r="Z26">
        <f t="shared" si="18"/>
        <v>0</v>
      </c>
      <c r="AA26">
        <f t="shared" si="19"/>
        <v>0</v>
      </c>
      <c r="AB26">
        <f t="shared" si="20"/>
        <v>0</v>
      </c>
      <c r="AC26">
        <f t="shared" si="21"/>
        <v>0</v>
      </c>
    </row>
    <row r="27" spans="1:29" x14ac:dyDescent="0.2">
      <c r="A27">
        <f t="shared" si="0"/>
        <v>25</v>
      </c>
      <c r="B27">
        <f t="shared" si="1"/>
        <v>4</v>
      </c>
      <c r="C27" cm="1">
        <f t="array" ref="C27">IF(M26=1,C26,IF(J26=15,C26,IF(J26=1,IF(K26=0,L26,C26),IF(J26=2,IF(K26=0,INDEX(N26:AC26,1,L26+1),C26),IF(J26=4,IF(K26=0,CHOOSE(L26+1,C26,D26,E26,F26),C26),IF(J26=5,IF(K26=0,MOD(C26+L26,256),C26),IF(J26=6,IF(K26=0,MOD(C26+CHOOSE(L26+1,C26,D26,E26,F26),256),C26),IF(J26=7,IF(K26=0,MOD(C26-L26,256),C26),IF(J26=8,IF(K26=0,MOD(C26-CHOOSE(L26+1,C26,D26,E26,F26),256),C26),IF(J26=12,IF(K26=0,MOD(C26*(IF(L26&gt;=128,CHOOSE(L26-128+1,C26,D26,E26,F26),L26)),256),C26),IF(J26=14,IF(K26=0,_xlfn.BITAND(C26,(IF(L26&gt;=128,CHOOSE(L26-128+1,C26,D26,E26,F26),L26))),C26),IF(J26=16,IF(K26=0,_xlfn.BITOR(C26,(IF(L26&gt;=128,CHOOSE(L26-128+1,C26,D26,E26,F26),L26))),C26),IF(J26=17,IF(K26=0,_xlfn.BITXOR(C26,(IF(L26&gt;=128,CHOOSE(L26-128+1,C26,D26,E26,F26),L26))),C26),IF(J26=18,IF(0=1,QUOTIENT(C26,(IF(L26&gt;=128,CHOOSE(L26-128+1,C26,D26,E26,F26),L26))),IF(0=3,MOD(C26,(IF(L26&gt;=128,CHOOSE(L26-128+1,C26,D26,E26,F26),L26))),C26)),IF(J26=13,C26,C26)))))))))))))))</f>
        <v>10</v>
      </c>
      <c r="D27" cm="1">
        <f t="array" ref="D27">IF(M26=1,D26,IF(J26=15,D26,IF(J26=1,IF(K26=1,L26,D26),IF(J26=2,IF(K26=1,INDEX(N26:AC26,1,L26+1),D26),IF(J26=4,IF(K26=1,CHOOSE(L26+1,C26,D26,E26,F26),D26),IF(J26=5,IF(K26=1,MOD(D26+L26,256),D26),IF(J26=6,IF(K26=1,MOD(D26+CHOOSE(L26+1,C26,D26,E26,F26),256),D26),IF(J26=7,IF(K26=1,MOD(D26-L26,256),D26),IF(J26=8,IF(K26=1,MOD(D26-CHOOSE(L26+1,C26,D26,E26,F26),256),D26),IF(J26=12,IF(K26=1,MOD(D26*(IF(L26&gt;=128,CHOOSE(L26-128+1,C26,D26,E26,F26),L26)),256),D26),IF(J26=14,IF(K26=1,_xlfn.BITAND(D26,(IF(L26&gt;=128,CHOOSE(L26-128+1,C26,D26,E26,F26),L26))),D26),IF(J26=16,IF(K26=1,_xlfn.BITOR(D26,(IF(L26&gt;=128,CHOOSE(L26-128+1,C26,D26,E26,F26),L26))),D26),IF(J26=17,IF(K26=1,_xlfn.BITXOR(D26,(IF(L26&gt;=128,CHOOSE(L26-128+1,C26,D26,E26,F26),L26))),D26),IF(J26=18,IF(1=1,QUOTIENT(C26,(IF(L26&gt;=128,CHOOSE(L26-128+1,C26,D26,E26,F26),L26))),IF(1=3,MOD(C26,(IF(L26&gt;=128,CHOOSE(L26-128+1,C26,D26,E26,F26),L26))),D26)),IF(J26=13,D26,D26)))))))))))))))</f>
        <v>5</v>
      </c>
      <c r="E27" cm="1">
        <f t="array" ref="E27">IF(M26=1,E26,IF(J26=15,E26,IF(J26=1,IF(K26=2,L26,E26),IF(J26=2,IF(K26=2,INDEX(N26:AC26,1,L26+1),E26),IF(J26=4,IF(K26=2,CHOOSE(L26+1,C26,D26,E26,F26),E26),IF(J26=5,IF(K26=2,MOD(E26+L26,256),E26),IF(J26=6,IF(K26=2,MOD(E26+CHOOSE(L26+1,C26,D26,E26,F26),256),E26),IF(J26=7,IF(K26=2,MOD(E26-L26,256),E26),IF(J26=8,IF(K26=2,MOD(E26-CHOOSE(L26+1,C26,D26,E26,F26),256),E26),IF(J26=12,IF(K26=2,MOD(E26*(IF(L26&gt;=128,CHOOSE(L26-128+1,C26,D26,E26,F26),L26)),256),E26),IF(J26=14,IF(K26=2,_xlfn.BITAND(E26,(IF(L26&gt;=128,CHOOSE(L26-128+1,C26,D26,E26,F26),L26))),E26),IF(J26=16,IF(K26=2,_xlfn.BITOR(E26,(IF(L26&gt;=128,CHOOSE(L26-128+1,C26,D26,E26,F26),L26))),E26),IF(J26=17,IF(K26=2,_xlfn.BITXOR(E26,(IF(L26&gt;=128,CHOOSE(L26-128+1,C26,D26,E26,F26),L26))),E26),IF(J26=18,IF(2=1,QUOTIENT(C26,(IF(L26&gt;=128,CHOOSE(L26-128+1,C26,D26,E26,F26),L26))),IF(2=3,MOD(C26,(IF(L26&gt;=128,CHOOSE(L26-128+1,C26,D26,E26,F26),L26))),E26)),IF(J26=13,MOD(E26-1,256),E26)))))))))))))))</f>
        <v>0</v>
      </c>
      <c r="F27" cm="1">
        <f t="array" ref="F27">IF(M26=1,F26,IF(J26=15,F26,IF(J26=1,IF(K26=3,L26,F26),IF(J26=2,IF(K26=3,INDEX(N26:AC26,1,L26+1),F26),IF(J26=4,IF(K26=3,CHOOSE(L26+1,C26,D26,E26,F26),F26),IF(J26=5,IF(K26=3,MOD(F26+L26,256),F26),IF(J26=6,IF(K26=3,MOD(F26+CHOOSE(L26+1,C26,D26,E26,F26),256),F26),IF(J26=7,IF(K26=3,MOD(F26-L26,256),F26),IF(J26=8,IF(K26=3,MOD(F26-CHOOSE(L26+1,C26,D26,E26,F26),256),F26),IF(J26=12,IF(K26=3,MOD(F26*(IF(L26&gt;=128,CHOOSE(L26-128+1,C26,D26,E26,F26),L26)),256),F26),IF(J26=14,IF(K26=3,_xlfn.BITAND(F26,(IF(L26&gt;=128,CHOOSE(L26-128+1,C26,D26,E26,F26),L26))),F26),IF(J26=16,IF(K26=3,_xlfn.BITOR(F26,(IF(L26&gt;=128,CHOOSE(L26-128+1,C26,D26,E26,F26),L26))),F26),IF(J26=17,IF(K26=3,_xlfn.BITXOR(F26,(IF(L26&gt;=128,CHOOSE(L26-128+1,C26,D26,E26,F26),L26))),F26),IF(J26=18,IF(3=1,QUOTIENT(C26,(IF(L26&gt;=128,CHOOSE(L26-128+1,C26,D26,E26,F26),L26))),IF(3=3,MOD(C26,(IF(L26&gt;=128,CHOOSE(L26-128+1,C26,D26,E26,F26),L26))),F26)),IF(J26=13,F26,F26)))))))))))))))</f>
        <v>0</v>
      </c>
      <c r="G27">
        <f t="shared" si="2"/>
        <v>0</v>
      </c>
      <c r="H27">
        <f t="shared" si="3"/>
        <v>0</v>
      </c>
      <c r="I27">
        <f t="shared" si="4"/>
        <v>0</v>
      </c>
      <c r="J27" cm="1">
        <f t="array" ref="J27">INDEX(PROGRAM!$E$2:$E$257, B27+1)</f>
        <v>15</v>
      </c>
      <c r="K27" cm="1">
        <f t="array" ref="K27">INDEX(PROGRAM!$F$2:$F$257, B27+1)</f>
        <v>0</v>
      </c>
      <c r="L27" cm="1">
        <f t="array" ref="L27">INDEX(PROGRAM!$G$2:$G$257, B27+1)</f>
        <v>0</v>
      </c>
      <c r="M27">
        <f t="shared" si="5"/>
        <v>1</v>
      </c>
      <c r="N27">
        <f t="shared" si="6"/>
        <v>0</v>
      </c>
      <c r="O27">
        <f t="shared" si="7"/>
        <v>10</v>
      </c>
      <c r="P27">
        <f t="shared" si="8"/>
        <v>15</v>
      </c>
      <c r="Q27">
        <f t="shared" si="9"/>
        <v>0</v>
      </c>
      <c r="R27">
        <f t="shared" si="10"/>
        <v>0</v>
      </c>
      <c r="S27">
        <f t="shared" si="11"/>
        <v>0</v>
      </c>
      <c r="T27">
        <f t="shared" si="12"/>
        <v>0</v>
      </c>
      <c r="U27">
        <f t="shared" si="13"/>
        <v>5</v>
      </c>
      <c r="V27">
        <f t="shared" si="14"/>
        <v>0</v>
      </c>
      <c r="W27">
        <f t="shared" si="15"/>
        <v>0</v>
      </c>
      <c r="X27">
        <f t="shared" si="16"/>
        <v>3</v>
      </c>
      <c r="Y27">
        <f t="shared" si="17"/>
        <v>0</v>
      </c>
      <c r="Z27">
        <f t="shared" si="18"/>
        <v>0</v>
      </c>
      <c r="AA27">
        <f t="shared" si="19"/>
        <v>0</v>
      </c>
      <c r="AB27">
        <f t="shared" si="20"/>
        <v>0</v>
      </c>
      <c r="AC27">
        <f t="shared" si="21"/>
        <v>0</v>
      </c>
    </row>
    <row r="28" spans="1:29" x14ac:dyDescent="0.2">
      <c r="A28">
        <f t="shared" si="0"/>
        <v>26</v>
      </c>
      <c r="B28">
        <f t="shared" si="1"/>
        <v>4</v>
      </c>
      <c r="C28" cm="1">
        <f t="array" ref="C28">IF(M27=1,C27,IF(J27=15,C27,IF(J27=1,IF(K27=0,L27,C27),IF(J27=2,IF(K27=0,INDEX(N27:AC27,1,L27+1),C27),IF(J27=4,IF(K27=0,CHOOSE(L27+1,C27,D27,E27,F27),C27),IF(J27=5,IF(K27=0,MOD(C27+L27,256),C27),IF(J27=6,IF(K27=0,MOD(C27+CHOOSE(L27+1,C27,D27,E27,F27),256),C27),IF(J27=7,IF(K27=0,MOD(C27-L27,256),C27),IF(J27=8,IF(K27=0,MOD(C27-CHOOSE(L27+1,C27,D27,E27,F27),256),C27),IF(J27=12,IF(K27=0,MOD(C27*(IF(L27&gt;=128,CHOOSE(L27-128+1,C27,D27,E27,F27),L27)),256),C27),IF(J27=14,IF(K27=0,_xlfn.BITAND(C27,(IF(L27&gt;=128,CHOOSE(L27-128+1,C27,D27,E27,F27),L27))),C27),IF(J27=16,IF(K27=0,_xlfn.BITOR(C27,(IF(L27&gt;=128,CHOOSE(L27-128+1,C27,D27,E27,F27),L27))),C27),IF(J27=17,IF(K27=0,_xlfn.BITXOR(C27,(IF(L27&gt;=128,CHOOSE(L27-128+1,C27,D27,E27,F27),L27))),C27),IF(J27=18,IF(0=1,QUOTIENT(C27,(IF(L27&gt;=128,CHOOSE(L27-128+1,C27,D27,E27,F27),L27))),IF(0=3,MOD(C27,(IF(L27&gt;=128,CHOOSE(L27-128+1,C27,D27,E27,F27),L27))),C27)),IF(J27=13,C27,C27)))))))))))))))</f>
        <v>10</v>
      </c>
      <c r="D28" cm="1">
        <f t="array" ref="D28">IF(M27=1,D27,IF(J27=15,D27,IF(J27=1,IF(K27=1,L27,D27),IF(J27=2,IF(K27=1,INDEX(N27:AC27,1,L27+1),D27),IF(J27=4,IF(K27=1,CHOOSE(L27+1,C27,D27,E27,F27),D27),IF(J27=5,IF(K27=1,MOD(D27+L27,256),D27),IF(J27=6,IF(K27=1,MOD(D27+CHOOSE(L27+1,C27,D27,E27,F27),256),D27),IF(J27=7,IF(K27=1,MOD(D27-L27,256),D27),IF(J27=8,IF(K27=1,MOD(D27-CHOOSE(L27+1,C27,D27,E27,F27),256),D27),IF(J27=12,IF(K27=1,MOD(D27*(IF(L27&gt;=128,CHOOSE(L27-128+1,C27,D27,E27,F27),L27)),256),D27),IF(J27=14,IF(K27=1,_xlfn.BITAND(D27,(IF(L27&gt;=128,CHOOSE(L27-128+1,C27,D27,E27,F27),L27))),D27),IF(J27=16,IF(K27=1,_xlfn.BITOR(D27,(IF(L27&gt;=128,CHOOSE(L27-128+1,C27,D27,E27,F27),L27))),D27),IF(J27=17,IF(K27=1,_xlfn.BITXOR(D27,(IF(L27&gt;=128,CHOOSE(L27-128+1,C27,D27,E27,F27),L27))),D27),IF(J27=18,IF(1=1,QUOTIENT(C27,(IF(L27&gt;=128,CHOOSE(L27-128+1,C27,D27,E27,F27),L27))),IF(1=3,MOD(C27,(IF(L27&gt;=128,CHOOSE(L27-128+1,C27,D27,E27,F27),L27))),D27)),IF(J27=13,D27,D27)))))))))))))))</f>
        <v>5</v>
      </c>
      <c r="E28" cm="1">
        <f t="array" ref="E28">IF(M27=1,E27,IF(J27=15,E27,IF(J27=1,IF(K27=2,L27,E27),IF(J27=2,IF(K27=2,INDEX(N27:AC27,1,L27+1),E27),IF(J27=4,IF(K27=2,CHOOSE(L27+1,C27,D27,E27,F27),E27),IF(J27=5,IF(K27=2,MOD(E27+L27,256),E27),IF(J27=6,IF(K27=2,MOD(E27+CHOOSE(L27+1,C27,D27,E27,F27),256),E27),IF(J27=7,IF(K27=2,MOD(E27-L27,256),E27),IF(J27=8,IF(K27=2,MOD(E27-CHOOSE(L27+1,C27,D27,E27,F27),256),E27),IF(J27=12,IF(K27=2,MOD(E27*(IF(L27&gt;=128,CHOOSE(L27-128+1,C27,D27,E27,F27),L27)),256),E27),IF(J27=14,IF(K27=2,_xlfn.BITAND(E27,(IF(L27&gt;=128,CHOOSE(L27-128+1,C27,D27,E27,F27),L27))),E27),IF(J27=16,IF(K27=2,_xlfn.BITOR(E27,(IF(L27&gt;=128,CHOOSE(L27-128+1,C27,D27,E27,F27),L27))),E27),IF(J27=17,IF(K27=2,_xlfn.BITXOR(E27,(IF(L27&gt;=128,CHOOSE(L27-128+1,C27,D27,E27,F27),L27))),E27),IF(J27=18,IF(2=1,QUOTIENT(C27,(IF(L27&gt;=128,CHOOSE(L27-128+1,C27,D27,E27,F27),L27))),IF(2=3,MOD(C27,(IF(L27&gt;=128,CHOOSE(L27-128+1,C27,D27,E27,F27),L27))),E27)),IF(J27=13,MOD(E27-1,256),E27)))))))))))))))</f>
        <v>0</v>
      </c>
      <c r="F28" cm="1">
        <f t="array" ref="F28">IF(M27=1,F27,IF(J27=15,F27,IF(J27=1,IF(K27=3,L27,F27),IF(J27=2,IF(K27=3,INDEX(N27:AC27,1,L27+1),F27),IF(J27=4,IF(K27=3,CHOOSE(L27+1,C27,D27,E27,F27),F27),IF(J27=5,IF(K27=3,MOD(F27+L27,256),F27),IF(J27=6,IF(K27=3,MOD(F27+CHOOSE(L27+1,C27,D27,E27,F27),256),F27),IF(J27=7,IF(K27=3,MOD(F27-L27,256),F27),IF(J27=8,IF(K27=3,MOD(F27-CHOOSE(L27+1,C27,D27,E27,F27),256),F27),IF(J27=12,IF(K27=3,MOD(F27*(IF(L27&gt;=128,CHOOSE(L27-128+1,C27,D27,E27,F27),L27)),256),F27),IF(J27=14,IF(K27=3,_xlfn.BITAND(F27,(IF(L27&gt;=128,CHOOSE(L27-128+1,C27,D27,E27,F27),L27))),F27),IF(J27=16,IF(K27=3,_xlfn.BITOR(F27,(IF(L27&gt;=128,CHOOSE(L27-128+1,C27,D27,E27,F27),L27))),F27),IF(J27=17,IF(K27=3,_xlfn.BITXOR(F27,(IF(L27&gt;=128,CHOOSE(L27-128+1,C27,D27,E27,F27),L27))),F27),IF(J27=18,IF(3=1,QUOTIENT(C27,(IF(L27&gt;=128,CHOOSE(L27-128+1,C27,D27,E27,F27),L27))),IF(3=3,MOD(C27,(IF(L27&gt;=128,CHOOSE(L27-128+1,C27,D27,E27,F27),L27))),F27)),IF(J27=13,F27,F27)))))))))))))))</f>
        <v>0</v>
      </c>
      <c r="G28">
        <f t="shared" si="2"/>
        <v>0</v>
      </c>
      <c r="H28">
        <f t="shared" si="3"/>
        <v>0</v>
      </c>
      <c r="I28">
        <f t="shared" si="4"/>
        <v>0</v>
      </c>
      <c r="J28" cm="1">
        <f t="array" ref="J28">INDEX(PROGRAM!$E$2:$E$257, B28+1)</f>
        <v>15</v>
      </c>
      <c r="K28" cm="1">
        <f t="array" ref="K28">INDEX(PROGRAM!$F$2:$F$257, B28+1)</f>
        <v>0</v>
      </c>
      <c r="L28" cm="1">
        <f t="array" ref="L28">INDEX(PROGRAM!$G$2:$G$257, B28+1)</f>
        <v>0</v>
      </c>
      <c r="M28">
        <f t="shared" si="5"/>
        <v>1</v>
      </c>
      <c r="N28">
        <f t="shared" si="6"/>
        <v>0</v>
      </c>
      <c r="O28">
        <f t="shared" si="7"/>
        <v>10</v>
      </c>
      <c r="P28">
        <f t="shared" si="8"/>
        <v>15</v>
      </c>
      <c r="Q28">
        <f t="shared" si="9"/>
        <v>0</v>
      </c>
      <c r="R28">
        <f t="shared" si="10"/>
        <v>0</v>
      </c>
      <c r="S28">
        <f t="shared" si="11"/>
        <v>0</v>
      </c>
      <c r="T28">
        <f t="shared" si="12"/>
        <v>0</v>
      </c>
      <c r="U28">
        <f t="shared" si="13"/>
        <v>5</v>
      </c>
      <c r="V28">
        <f t="shared" si="14"/>
        <v>0</v>
      </c>
      <c r="W28">
        <f t="shared" si="15"/>
        <v>0</v>
      </c>
      <c r="X28">
        <f t="shared" si="16"/>
        <v>3</v>
      </c>
      <c r="Y28">
        <f t="shared" si="17"/>
        <v>0</v>
      </c>
      <c r="Z28">
        <f t="shared" si="18"/>
        <v>0</v>
      </c>
      <c r="AA28">
        <f t="shared" si="19"/>
        <v>0</v>
      </c>
      <c r="AB28">
        <f t="shared" si="20"/>
        <v>0</v>
      </c>
      <c r="AC28">
        <f t="shared" si="21"/>
        <v>0</v>
      </c>
    </row>
    <row r="29" spans="1:29" x14ac:dyDescent="0.2">
      <c r="A29">
        <f t="shared" si="0"/>
        <v>27</v>
      </c>
      <c r="B29">
        <f t="shared" si="1"/>
        <v>4</v>
      </c>
      <c r="C29" cm="1">
        <f t="array" ref="C29">IF(M28=1,C28,IF(J28=15,C28,IF(J28=1,IF(K28=0,L28,C28),IF(J28=2,IF(K28=0,INDEX(N28:AC28,1,L28+1),C28),IF(J28=4,IF(K28=0,CHOOSE(L28+1,C28,D28,E28,F28),C28),IF(J28=5,IF(K28=0,MOD(C28+L28,256),C28),IF(J28=6,IF(K28=0,MOD(C28+CHOOSE(L28+1,C28,D28,E28,F28),256),C28),IF(J28=7,IF(K28=0,MOD(C28-L28,256),C28),IF(J28=8,IF(K28=0,MOD(C28-CHOOSE(L28+1,C28,D28,E28,F28),256),C28),IF(J28=12,IF(K28=0,MOD(C28*(IF(L28&gt;=128,CHOOSE(L28-128+1,C28,D28,E28,F28),L28)),256),C28),IF(J28=14,IF(K28=0,_xlfn.BITAND(C28,(IF(L28&gt;=128,CHOOSE(L28-128+1,C28,D28,E28,F28),L28))),C28),IF(J28=16,IF(K28=0,_xlfn.BITOR(C28,(IF(L28&gt;=128,CHOOSE(L28-128+1,C28,D28,E28,F28),L28))),C28),IF(J28=17,IF(K28=0,_xlfn.BITXOR(C28,(IF(L28&gt;=128,CHOOSE(L28-128+1,C28,D28,E28,F28),L28))),C28),IF(J28=18,IF(0=1,QUOTIENT(C28,(IF(L28&gt;=128,CHOOSE(L28-128+1,C28,D28,E28,F28),L28))),IF(0=3,MOD(C28,(IF(L28&gt;=128,CHOOSE(L28-128+1,C28,D28,E28,F28),L28))),C28)),IF(J28=13,C28,C28)))))))))))))))</f>
        <v>10</v>
      </c>
      <c r="D29" cm="1">
        <f t="array" ref="D29">IF(M28=1,D28,IF(J28=15,D28,IF(J28=1,IF(K28=1,L28,D28),IF(J28=2,IF(K28=1,INDEX(N28:AC28,1,L28+1),D28),IF(J28=4,IF(K28=1,CHOOSE(L28+1,C28,D28,E28,F28),D28),IF(J28=5,IF(K28=1,MOD(D28+L28,256),D28),IF(J28=6,IF(K28=1,MOD(D28+CHOOSE(L28+1,C28,D28,E28,F28),256),D28),IF(J28=7,IF(K28=1,MOD(D28-L28,256),D28),IF(J28=8,IF(K28=1,MOD(D28-CHOOSE(L28+1,C28,D28,E28,F28),256),D28),IF(J28=12,IF(K28=1,MOD(D28*(IF(L28&gt;=128,CHOOSE(L28-128+1,C28,D28,E28,F28),L28)),256),D28),IF(J28=14,IF(K28=1,_xlfn.BITAND(D28,(IF(L28&gt;=128,CHOOSE(L28-128+1,C28,D28,E28,F28),L28))),D28),IF(J28=16,IF(K28=1,_xlfn.BITOR(D28,(IF(L28&gt;=128,CHOOSE(L28-128+1,C28,D28,E28,F28),L28))),D28),IF(J28=17,IF(K28=1,_xlfn.BITXOR(D28,(IF(L28&gt;=128,CHOOSE(L28-128+1,C28,D28,E28,F28),L28))),D28),IF(J28=18,IF(1=1,QUOTIENT(C28,(IF(L28&gt;=128,CHOOSE(L28-128+1,C28,D28,E28,F28),L28))),IF(1=3,MOD(C28,(IF(L28&gt;=128,CHOOSE(L28-128+1,C28,D28,E28,F28),L28))),D28)),IF(J28=13,D28,D28)))))))))))))))</f>
        <v>5</v>
      </c>
      <c r="E29" cm="1">
        <f t="array" ref="E29">IF(M28=1,E28,IF(J28=15,E28,IF(J28=1,IF(K28=2,L28,E28),IF(J28=2,IF(K28=2,INDEX(N28:AC28,1,L28+1),E28),IF(J28=4,IF(K28=2,CHOOSE(L28+1,C28,D28,E28,F28),E28),IF(J28=5,IF(K28=2,MOD(E28+L28,256),E28),IF(J28=6,IF(K28=2,MOD(E28+CHOOSE(L28+1,C28,D28,E28,F28),256),E28),IF(J28=7,IF(K28=2,MOD(E28-L28,256),E28),IF(J28=8,IF(K28=2,MOD(E28-CHOOSE(L28+1,C28,D28,E28,F28),256),E28),IF(J28=12,IF(K28=2,MOD(E28*(IF(L28&gt;=128,CHOOSE(L28-128+1,C28,D28,E28,F28),L28)),256),E28),IF(J28=14,IF(K28=2,_xlfn.BITAND(E28,(IF(L28&gt;=128,CHOOSE(L28-128+1,C28,D28,E28,F28),L28))),E28),IF(J28=16,IF(K28=2,_xlfn.BITOR(E28,(IF(L28&gt;=128,CHOOSE(L28-128+1,C28,D28,E28,F28),L28))),E28),IF(J28=17,IF(K28=2,_xlfn.BITXOR(E28,(IF(L28&gt;=128,CHOOSE(L28-128+1,C28,D28,E28,F28),L28))),E28),IF(J28=18,IF(2=1,QUOTIENT(C28,(IF(L28&gt;=128,CHOOSE(L28-128+1,C28,D28,E28,F28),L28))),IF(2=3,MOD(C28,(IF(L28&gt;=128,CHOOSE(L28-128+1,C28,D28,E28,F28),L28))),E28)),IF(J28=13,MOD(E28-1,256),E28)))))))))))))))</f>
        <v>0</v>
      </c>
      <c r="F29" cm="1">
        <f t="array" ref="F29">IF(M28=1,F28,IF(J28=15,F28,IF(J28=1,IF(K28=3,L28,F28),IF(J28=2,IF(K28=3,INDEX(N28:AC28,1,L28+1),F28),IF(J28=4,IF(K28=3,CHOOSE(L28+1,C28,D28,E28,F28),F28),IF(J28=5,IF(K28=3,MOD(F28+L28,256),F28),IF(J28=6,IF(K28=3,MOD(F28+CHOOSE(L28+1,C28,D28,E28,F28),256),F28),IF(J28=7,IF(K28=3,MOD(F28-L28,256),F28),IF(J28=8,IF(K28=3,MOD(F28-CHOOSE(L28+1,C28,D28,E28,F28),256),F28),IF(J28=12,IF(K28=3,MOD(F28*(IF(L28&gt;=128,CHOOSE(L28-128+1,C28,D28,E28,F28),L28)),256),F28),IF(J28=14,IF(K28=3,_xlfn.BITAND(F28,(IF(L28&gt;=128,CHOOSE(L28-128+1,C28,D28,E28,F28),L28))),F28),IF(J28=16,IF(K28=3,_xlfn.BITOR(F28,(IF(L28&gt;=128,CHOOSE(L28-128+1,C28,D28,E28,F28),L28))),F28),IF(J28=17,IF(K28=3,_xlfn.BITXOR(F28,(IF(L28&gt;=128,CHOOSE(L28-128+1,C28,D28,E28,F28),L28))),F28),IF(J28=18,IF(3=1,QUOTIENT(C28,(IF(L28&gt;=128,CHOOSE(L28-128+1,C28,D28,E28,F28),L28))),IF(3=3,MOD(C28,(IF(L28&gt;=128,CHOOSE(L28-128+1,C28,D28,E28,F28),L28))),F28)),IF(J28=13,F28,F28)))))))))))))))</f>
        <v>0</v>
      </c>
      <c r="G29">
        <f t="shared" si="2"/>
        <v>0</v>
      </c>
      <c r="H29">
        <f t="shared" si="3"/>
        <v>0</v>
      </c>
      <c r="I29">
        <f t="shared" si="4"/>
        <v>0</v>
      </c>
      <c r="J29" cm="1">
        <f t="array" ref="J29">INDEX(PROGRAM!$E$2:$E$257, B29+1)</f>
        <v>15</v>
      </c>
      <c r="K29" cm="1">
        <f t="array" ref="K29">INDEX(PROGRAM!$F$2:$F$257, B29+1)</f>
        <v>0</v>
      </c>
      <c r="L29" cm="1">
        <f t="array" ref="L29">INDEX(PROGRAM!$G$2:$G$257, B29+1)</f>
        <v>0</v>
      </c>
      <c r="M29">
        <f t="shared" si="5"/>
        <v>1</v>
      </c>
      <c r="N29">
        <f t="shared" si="6"/>
        <v>0</v>
      </c>
      <c r="O29">
        <f t="shared" si="7"/>
        <v>10</v>
      </c>
      <c r="P29">
        <f t="shared" si="8"/>
        <v>15</v>
      </c>
      <c r="Q29">
        <f t="shared" si="9"/>
        <v>0</v>
      </c>
      <c r="R29">
        <f t="shared" si="10"/>
        <v>0</v>
      </c>
      <c r="S29">
        <f t="shared" si="11"/>
        <v>0</v>
      </c>
      <c r="T29">
        <f t="shared" si="12"/>
        <v>0</v>
      </c>
      <c r="U29">
        <f t="shared" si="13"/>
        <v>5</v>
      </c>
      <c r="V29">
        <f t="shared" si="14"/>
        <v>0</v>
      </c>
      <c r="W29">
        <f t="shared" si="15"/>
        <v>0</v>
      </c>
      <c r="X29">
        <f t="shared" si="16"/>
        <v>3</v>
      </c>
      <c r="Y29">
        <f t="shared" si="17"/>
        <v>0</v>
      </c>
      <c r="Z29">
        <f t="shared" si="18"/>
        <v>0</v>
      </c>
      <c r="AA29">
        <f t="shared" si="19"/>
        <v>0</v>
      </c>
      <c r="AB29">
        <f t="shared" si="20"/>
        <v>0</v>
      </c>
      <c r="AC29">
        <f t="shared" si="21"/>
        <v>0</v>
      </c>
    </row>
    <row r="30" spans="1:29" x14ac:dyDescent="0.2">
      <c r="A30">
        <f t="shared" si="0"/>
        <v>28</v>
      </c>
      <c r="B30">
        <f t="shared" si="1"/>
        <v>4</v>
      </c>
      <c r="C30" cm="1">
        <f t="array" ref="C30">IF(M29=1,C29,IF(J29=15,C29,IF(J29=1,IF(K29=0,L29,C29),IF(J29=2,IF(K29=0,INDEX(N29:AC29,1,L29+1),C29),IF(J29=4,IF(K29=0,CHOOSE(L29+1,C29,D29,E29,F29),C29),IF(J29=5,IF(K29=0,MOD(C29+L29,256),C29),IF(J29=6,IF(K29=0,MOD(C29+CHOOSE(L29+1,C29,D29,E29,F29),256),C29),IF(J29=7,IF(K29=0,MOD(C29-L29,256),C29),IF(J29=8,IF(K29=0,MOD(C29-CHOOSE(L29+1,C29,D29,E29,F29),256),C29),IF(J29=12,IF(K29=0,MOD(C29*(IF(L29&gt;=128,CHOOSE(L29-128+1,C29,D29,E29,F29),L29)),256),C29),IF(J29=14,IF(K29=0,_xlfn.BITAND(C29,(IF(L29&gt;=128,CHOOSE(L29-128+1,C29,D29,E29,F29),L29))),C29),IF(J29=16,IF(K29=0,_xlfn.BITOR(C29,(IF(L29&gt;=128,CHOOSE(L29-128+1,C29,D29,E29,F29),L29))),C29),IF(J29=17,IF(K29=0,_xlfn.BITXOR(C29,(IF(L29&gt;=128,CHOOSE(L29-128+1,C29,D29,E29,F29),L29))),C29),IF(J29=18,IF(0=1,QUOTIENT(C29,(IF(L29&gt;=128,CHOOSE(L29-128+1,C29,D29,E29,F29),L29))),IF(0=3,MOD(C29,(IF(L29&gt;=128,CHOOSE(L29-128+1,C29,D29,E29,F29),L29))),C29)),IF(J29=13,C29,C29)))))))))))))))</f>
        <v>10</v>
      </c>
      <c r="D30" cm="1">
        <f t="array" ref="D30">IF(M29=1,D29,IF(J29=15,D29,IF(J29=1,IF(K29=1,L29,D29),IF(J29=2,IF(K29=1,INDEX(N29:AC29,1,L29+1),D29),IF(J29=4,IF(K29=1,CHOOSE(L29+1,C29,D29,E29,F29),D29),IF(J29=5,IF(K29=1,MOD(D29+L29,256),D29),IF(J29=6,IF(K29=1,MOD(D29+CHOOSE(L29+1,C29,D29,E29,F29),256),D29),IF(J29=7,IF(K29=1,MOD(D29-L29,256),D29),IF(J29=8,IF(K29=1,MOD(D29-CHOOSE(L29+1,C29,D29,E29,F29),256),D29),IF(J29=12,IF(K29=1,MOD(D29*(IF(L29&gt;=128,CHOOSE(L29-128+1,C29,D29,E29,F29),L29)),256),D29),IF(J29=14,IF(K29=1,_xlfn.BITAND(D29,(IF(L29&gt;=128,CHOOSE(L29-128+1,C29,D29,E29,F29),L29))),D29),IF(J29=16,IF(K29=1,_xlfn.BITOR(D29,(IF(L29&gt;=128,CHOOSE(L29-128+1,C29,D29,E29,F29),L29))),D29),IF(J29=17,IF(K29=1,_xlfn.BITXOR(D29,(IF(L29&gt;=128,CHOOSE(L29-128+1,C29,D29,E29,F29),L29))),D29),IF(J29=18,IF(1=1,QUOTIENT(C29,(IF(L29&gt;=128,CHOOSE(L29-128+1,C29,D29,E29,F29),L29))),IF(1=3,MOD(C29,(IF(L29&gt;=128,CHOOSE(L29-128+1,C29,D29,E29,F29),L29))),D29)),IF(J29=13,D29,D29)))))))))))))))</f>
        <v>5</v>
      </c>
      <c r="E30" cm="1">
        <f t="array" ref="E30">IF(M29=1,E29,IF(J29=15,E29,IF(J29=1,IF(K29=2,L29,E29),IF(J29=2,IF(K29=2,INDEX(N29:AC29,1,L29+1),E29),IF(J29=4,IF(K29=2,CHOOSE(L29+1,C29,D29,E29,F29),E29),IF(J29=5,IF(K29=2,MOD(E29+L29,256),E29),IF(J29=6,IF(K29=2,MOD(E29+CHOOSE(L29+1,C29,D29,E29,F29),256),E29),IF(J29=7,IF(K29=2,MOD(E29-L29,256),E29),IF(J29=8,IF(K29=2,MOD(E29-CHOOSE(L29+1,C29,D29,E29,F29),256),E29),IF(J29=12,IF(K29=2,MOD(E29*(IF(L29&gt;=128,CHOOSE(L29-128+1,C29,D29,E29,F29),L29)),256),E29),IF(J29=14,IF(K29=2,_xlfn.BITAND(E29,(IF(L29&gt;=128,CHOOSE(L29-128+1,C29,D29,E29,F29),L29))),E29),IF(J29=16,IF(K29=2,_xlfn.BITOR(E29,(IF(L29&gt;=128,CHOOSE(L29-128+1,C29,D29,E29,F29),L29))),E29),IF(J29=17,IF(K29=2,_xlfn.BITXOR(E29,(IF(L29&gt;=128,CHOOSE(L29-128+1,C29,D29,E29,F29),L29))),E29),IF(J29=18,IF(2=1,QUOTIENT(C29,(IF(L29&gt;=128,CHOOSE(L29-128+1,C29,D29,E29,F29),L29))),IF(2=3,MOD(C29,(IF(L29&gt;=128,CHOOSE(L29-128+1,C29,D29,E29,F29),L29))),E29)),IF(J29=13,MOD(E29-1,256),E29)))))))))))))))</f>
        <v>0</v>
      </c>
      <c r="F30" cm="1">
        <f t="array" ref="F30">IF(M29=1,F29,IF(J29=15,F29,IF(J29=1,IF(K29=3,L29,F29),IF(J29=2,IF(K29=3,INDEX(N29:AC29,1,L29+1),F29),IF(J29=4,IF(K29=3,CHOOSE(L29+1,C29,D29,E29,F29),F29),IF(J29=5,IF(K29=3,MOD(F29+L29,256),F29),IF(J29=6,IF(K29=3,MOD(F29+CHOOSE(L29+1,C29,D29,E29,F29),256),F29),IF(J29=7,IF(K29=3,MOD(F29-L29,256),F29),IF(J29=8,IF(K29=3,MOD(F29-CHOOSE(L29+1,C29,D29,E29,F29),256),F29),IF(J29=12,IF(K29=3,MOD(F29*(IF(L29&gt;=128,CHOOSE(L29-128+1,C29,D29,E29,F29),L29)),256),F29),IF(J29=14,IF(K29=3,_xlfn.BITAND(F29,(IF(L29&gt;=128,CHOOSE(L29-128+1,C29,D29,E29,F29),L29))),F29),IF(J29=16,IF(K29=3,_xlfn.BITOR(F29,(IF(L29&gt;=128,CHOOSE(L29-128+1,C29,D29,E29,F29),L29))),F29),IF(J29=17,IF(K29=3,_xlfn.BITXOR(F29,(IF(L29&gt;=128,CHOOSE(L29-128+1,C29,D29,E29,F29),L29))),F29),IF(J29=18,IF(3=1,QUOTIENT(C29,(IF(L29&gt;=128,CHOOSE(L29-128+1,C29,D29,E29,F29),L29))),IF(3=3,MOD(C29,(IF(L29&gt;=128,CHOOSE(L29-128+1,C29,D29,E29,F29),L29))),F29)),IF(J29=13,F29,F29)))))))))))))))</f>
        <v>0</v>
      </c>
      <c r="G30">
        <f t="shared" si="2"/>
        <v>0</v>
      </c>
      <c r="H30">
        <f t="shared" si="3"/>
        <v>0</v>
      </c>
      <c r="I30">
        <f t="shared" si="4"/>
        <v>0</v>
      </c>
      <c r="J30" cm="1">
        <f t="array" ref="J30">INDEX(PROGRAM!$E$2:$E$257, B30+1)</f>
        <v>15</v>
      </c>
      <c r="K30" cm="1">
        <f t="array" ref="K30">INDEX(PROGRAM!$F$2:$F$257, B30+1)</f>
        <v>0</v>
      </c>
      <c r="L30" cm="1">
        <f t="array" ref="L30">INDEX(PROGRAM!$G$2:$G$257, B30+1)</f>
        <v>0</v>
      </c>
      <c r="M30">
        <f t="shared" si="5"/>
        <v>1</v>
      </c>
      <c r="N30">
        <f t="shared" si="6"/>
        <v>0</v>
      </c>
      <c r="O30">
        <f t="shared" si="7"/>
        <v>10</v>
      </c>
      <c r="P30">
        <f t="shared" si="8"/>
        <v>15</v>
      </c>
      <c r="Q30">
        <f t="shared" si="9"/>
        <v>0</v>
      </c>
      <c r="R30">
        <f t="shared" si="10"/>
        <v>0</v>
      </c>
      <c r="S30">
        <f t="shared" si="11"/>
        <v>0</v>
      </c>
      <c r="T30">
        <f t="shared" si="12"/>
        <v>0</v>
      </c>
      <c r="U30">
        <f t="shared" si="13"/>
        <v>5</v>
      </c>
      <c r="V30">
        <f t="shared" si="14"/>
        <v>0</v>
      </c>
      <c r="W30">
        <f t="shared" si="15"/>
        <v>0</v>
      </c>
      <c r="X30">
        <f t="shared" si="16"/>
        <v>3</v>
      </c>
      <c r="Y30">
        <f t="shared" si="17"/>
        <v>0</v>
      </c>
      <c r="Z30">
        <f t="shared" si="18"/>
        <v>0</v>
      </c>
      <c r="AA30">
        <f t="shared" si="19"/>
        <v>0</v>
      </c>
      <c r="AB30">
        <f t="shared" si="20"/>
        <v>0</v>
      </c>
      <c r="AC30">
        <f t="shared" si="21"/>
        <v>0</v>
      </c>
    </row>
    <row r="31" spans="1:29" x14ac:dyDescent="0.2">
      <c r="A31">
        <f t="shared" si="0"/>
        <v>29</v>
      </c>
      <c r="B31">
        <f t="shared" si="1"/>
        <v>4</v>
      </c>
      <c r="C31" cm="1">
        <f t="array" ref="C31">IF(M30=1,C30,IF(J30=15,C30,IF(J30=1,IF(K30=0,L30,C30),IF(J30=2,IF(K30=0,INDEX(N30:AC30,1,L30+1),C30),IF(J30=4,IF(K30=0,CHOOSE(L30+1,C30,D30,E30,F30),C30),IF(J30=5,IF(K30=0,MOD(C30+L30,256),C30),IF(J30=6,IF(K30=0,MOD(C30+CHOOSE(L30+1,C30,D30,E30,F30),256),C30),IF(J30=7,IF(K30=0,MOD(C30-L30,256),C30),IF(J30=8,IF(K30=0,MOD(C30-CHOOSE(L30+1,C30,D30,E30,F30),256),C30),IF(J30=12,IF(K30=0,MOD(C30*(IF(L30&gt;=128,CHOOSE(L30-128+1,C30,D30,E30,F30),L30)),256),C30),IF(J30=14,IF(K30=0,_xlfn.BITAND(C30,(IF(L30&gt;=128,CHOOSE(L30-128+1,C30,D30,E30,F30),L30))),C30),IF(J30=16,IF(K30=0,_xlfn.BITOR(C30,(IF(L30&gt;=128,CHOOSE(L30-128+1,C30,D30,E30,F30),L30))),C30),IF(J30=17,IF(K30=0,_xlfn.BITXOR(C30,(IF(L30&gt;=128,CHOOSE(L30-128+1,C30,D30,E30,F30),L30))),C30),IF(J30=18,IF(0=1,QUOTIENT(C30,(IF(L30&gt;=128,CHOOSE(L30-128+1,C30,D30,E30,F30),L30))),IF(0=3,MOD(C30,(IF(L30&gt;=128,CHOOSE(L30-128+1,C30,D30,E30,F30),L30))),C30)),IF(J30=13,C30,C30)))))))))))))))</f>
        <v>10</v>
      </c>
      <c r="D31" cm="1">
        <f t="array" ref="D31">IF(M30=1,D30,IF(J30=15,D30,IF(J30=1,IF(K30=1,L30,D30),IF(J30=2,IF(K30=1,INDEX(N30:AC30,1,L30+1),D30),IF(J30=4,IF(K30=1,CHOOSE(L30+1,C30,D30,E30,F30),D30),IF(J30=5,IF(K30=1,MOD(D30+L30,256),D30),IF(J30=6,IF(K30=1,MOD(D30+CHOOSE(L30+1,C30,D30,E30,F30),256),D30),IF(J30=7,IF(K30=1,MOD(D30-L30,256),D30),IF(J30=8,IF(K30=1,MOD(D30-CHOOSE(L30+1,C30,D30,E30,F30),256),D30),IF(J30=12,IF(K30=1,MOD(D30*(IF(L30&gt;=128,CHOOSE(L30-128+1,C30,D30,E30,F30),L30)),256),D30),IF(J30=14,IF(K30=1,_xlfn.BITAND(D30,(IF(L30&gt;=128,CHOOSE(L30-128+1,C30,D30,E30,F30),L30))),D30),IF(J30=16,IF(K30=1,_xlfn.BITOR(D30,(IF(L30&gt;=128,CHOOSE(L30-128+1,C30,D30,E30,F30),L30))),D30),IF(J30=17,IF(K30=1,_xlfn.BITXOR(D30,(IF(L30&gt;=128,CHOOSE(L30-128+1,C30,D30,E30,F30),L30))),D30),IF(J30=18,IF(1=1,QUOTIENT(C30,(IF(L30&gt;=128,CHOOSE(L30-128+1,C30,D30,E30,F30),L30))),IF(1=3,MOD(C30,(IF(L30&gt;=128,CHOOSE(L30-128+1,C30,D30,E30,F30),L30))),D30)),IF(J30=13,D30,D30)))))))))))))))</f>
        <v>5</v>
      </c>
      <c r="E31" cm="1">
        <f t="array" ref="E31">IF(M30=1,E30,IF(J30=15,E30,IF(J30=1,IF(K30=2,L30,E30),IF(J30=2,IF(K30=2,INDEX(N30:AC30,1,L30+1),E30),IF(J30=4,IF(K30=2,CHOOSE(L30+1,C30,D30,E30,F30),E30),IF(J30=5,IF(K30=2,MOD(E30+L30,256),E30),IF(J30=6,IF(K30=2,MOD(E30+CHOOSE(L30+1,C30,D30,E30,F30),256),E30),IF(J30=7,IF(K30=2,MOD(E30-L30,256),E30),IF(J30=8,IF(K30=2,MOD(E30-CHOOSE(L30+1,C30,D30,E30,F30),256),E30),IF(J30=12,IF(K30=2,MOD(E30*(IF(L30&gt;=128,CHOOSE(L30-128+1,C30,D30,E30,F30),L30)),256),E30),IF(J30=14,IF(K30=2,_xlfn.BITAND(E30,(IF(L30&gt;=128,CHOOSE(L30-128+1,C30,D30,E30,F30),L30))),E30),IF(J30=16,IF(K30=2,_xlfn.BITOR(E30,(IF(L30&gt;=128,CHOOSE(L30-128+1,C30,D30,E30,F30),L30))),E30),IF(J30=17,IF(K30=2,_xlfn.BITXOR(E30,(IF(L30&gt;=128,CHOOSE(L30-128+1,C30,D30,E30,F30),L30))),E30),IF(J30=18,IF(2=1,QUOTIENT(C30,(IF(L30&gt;=128,CHOOSE(L30-128+1,C30,D30,E30,F30),L30))),IF(2=3,MOD(C30,(IF(L30&gt;=128,CHOOSE(L30-128+1,C30,D30,E30,F30),L30))),E30)),IF(J30=13,MOD(E30-1,256),E30)))))))))))))))</f>
        <v>0</v>
      </c>
      <c r="F31" cm="1">
        <f t="array" ref="F31">IF(M30=1,F30,IF(J30=15,F30,IF(J30=1,IF(K30=3,L30,F30),IF(J30=2,IF(K30=3,INDEX(N30:AC30,1,L30+1),F30),IF(J30=4,IF(K30=3,CHOOSE(L30+1,C30,D30,E30,F30),F30),IF(J30=5,IF(K30=3,MOD(F30+L30,256),F30),IF(J30=6,IF(K30=3,MOD(F30+CHOOSE(L30+1,C30,D30,E30,F30),256),F30),IF(J30=7,IF(K30=3,MOD(F30-L30,256),F30),IF(J30=8,IF(K30=3,MOD(F30-CHOOSE(L30+1,C30,D30,E30,F30),256),F30),IF(J30=12,IF(K30=3,MOD(F30*(IF(L30&gt;=128,CHOOSE(L30-128+1,C30,D30,E30,F30),L30)),256),F30),IF(J30=14,IF(K30=3,_xlfn.BITAND(F30,(IF(L30&gt;=128,CHOOSE(L30-128+1,C30,D30,E30,F30),L30))),F30),IF(J30=16,IF(K30=3,_xlfn.BITOR(F30,(IF(L30&gt;=128,CHOOSE(L30-128+1,C30,D30,E30,F30),L30))),F30),IF(J30=17,IF(K30=3,_xlfn.BITXOR(F30,(IF(L30&gt;=128,CHOOSE(L30-128+1,C30,D30,E30,F30),L30))),F30),IF(J30=18,IF(3=1,QUOTIENT(C30,(IF(L30&gt;=128,CHOOSE(L30-128+1,C30,D30,E30,F30),L30))),IF(3=3,MOD(C30,(IF(L30&gt;=128,CHOOSE(L30-128+1,C30,D30,E30,F30),L30))),F30)),IF(J30=13,F30,F30)))))))))))))))</f>
        <v>0</v>
      </c>
      <c r="G31">
        <f t="shared" si="2"/>
        <v>0</v>
      </c>
      <c r="H31">
        <f t="shared" si="3"/>
        <v>0</v>
      </c>
      <c r="I31">
        <f t="shared" si="4"/>
        <v>0</v>
      </c>
      <c r="J31" cm="1">
        <f t="array" ref="J31">INDEX(PROGRAM!$E$2:$E$257, B31+1)</f>
        <v>15</v>
      </c>
      <c r="K31" cm="1">
        <f t="array" ref="K31">INDEX(PROGRAM!$F$2:$F$257, B31+1)</f>
        <v>0</v>
      </c>
      <c r="L31" cm="1">
        <f t="array" ref="L31">INDEX(PROGRAM!$G$2:$G$257, B31+1)</f>
        <v>0</v>
      </c>
      <c r="M31">
        <f t="shared" si="5"/>
        <v>1</v>
      </c>
      <c r="N31">
        <f t="shared" si="6"/>
        <v>0</v>
      </c>
      <c r="O31">
        <f t="shared" si="7"/>
        <v>10</v>
      </c>
      <c r="P31">
        <f t="shared" si="8"/>
        <v>15</v>
      </c>
      <c r="Q31">
        <f t="shared" si="9"/>
        <v>0</v>
      </c>
      <c r="R31">
        <f t="shared" si="10"/>
        <v>0</v>
      </c>
      <c r="S31">
        <f t="shared" si="11"/>
        <v>0</v>
      </c>
      <c r="T31">
        <f t="shared" si="12"/>
        <v>0</v>
      </c>
      <c r="U31">
        <f t="shared" si="13"/>
        <v>5</v>
      </c>
      <c r="V31">
        <f t="shared" si="14"/>
        <v>0</v>
      </c>
      <c r="W31">
        <f t="shared" si="15"/>
        <v>0</v>
      </c>
      <c r="X31">
        <f t="shared" si="16"/>
        <v>3</v>
      </c>
      <c r="Y31">
        <f t="shared" si="17"/>
        <v>0</v>
      </c>
      <c r="Z31">
        <f t="shared" si="18"/>
        <v>0</v>
      </c>
      <c r="AA31">
        <f t="shared" si="19"/>
        <v>0</v>
      </c>
      <c r="AB31">
        <f t="shared" si="20"/>
        <v>0</v>
      </c>
      <c r="AC31">
        <f t="shared" si="21"/>
        <v>0</v>
      </c>
    </row>
    <row r="32" spans="1:29" x14ac:dyDescent="0.2">
      <c r="A32">
        <f t="shared" si="0"/>
        <v>30</v>
      </c>
      <c r="B32">
        <f t="shared" si="1"/>
        <v>4</v>
      </c>
      <c r="C32" cm="1">
        <f t="array" ref="C32">IF(M31=1,C31,IF(J31=15,C31,IF(J31=1,IF(K31=0,L31,C31),IF(J31=2,IF(K31=0,INDEX(N31:AC31,1,L31+1),C31),IF(J31=4,IF(K31=0,CHOOSE(L31+1,C31,D31,E31,F31),C31),IF(J31=5,IF(K31=0,MOD(C31+L31,256),C31),IF(J31=6,IF(K31=0,MOD(C31+CHOOSE(L31+1,C31,D31,E31,F31),256),C31),IF(J31=7,IF(K31=0,MOD(C31-L31,256),C31),IF(J31=8,IF(K31=0,MOD(C31-CHOOSE(L31+1,C31,D31,E31,F31),256),C31),IF(J31=12,IF(K31=0,MOD(C31*(IF(L31&gt;=128,CHOOSE(L31-128+1,C31,D31,E31,F31),L31)),256),C31),IF(J31=14,IF(K31=0,_xlfn.BITAND(C31,(IF(L31&gt;=128,CHOOSE(L31-128+1,C31,D31,E31,F31),L31))),C31),IF(J31=16,IF(K31=0,_xlfn.BITOR(C31,(IF(L31&gt;=128,CHOOSE(L31-128+1,C31,D31,E31,F31),L31))),C31),IF(J31=17,IF(K31=0,_xlfn.BITXOR(C31,(IF(L31&gt;=128,CHOOSE(L31-128+1,C31,D31,E31,F31),L31))),C31),IF(J31=18,IF(0=1,QUOTIENT(C31,(IF(L31&gt;=128,CHOOSE(L31-128+1,C31,D31,E31,F31),L31))),IF(0=3,MOD(C31,(IF(L31&gt;=128,CHOOSE(L31-128+1,C31,D31,E31,F31),L31))),C31)),IF(J31=13,C31,C31)))))))))))))))</f>
        <v>10</v>
      </c>
      <c r="D32" cm="1">
        <f t="array" ref="D32">IF(M31=1,D31,IF(J31=15,D31,IF(J31=1,IF(K31=1,L31,D31),IF(J31=2,IF(K31=1,INDEX(N31:AC31,1,L31+1),D31),IF(J31=4,IF(K31=1,CHOOSE(L31+1,C31,D31,E31,F31),D31),IF(J31=5,IF(K31=1,MOD(D31+L31,256),D31),IF(J31=6,IF(K31=1,MOD(D31+CHOOSE(L31+1,C31,D31,E31,F31),256),D31),IF(J31=7,IF(K31=1,MOD(D31-L31,256),D31),IF(J31=8,IF(K31=1,MOD(D31-CHOOSE(L31+1,C31,D31,E31,F31),256),D31),IF(J31=12,IF(K31=1,MOD(D31*(IF(L31&gt;=128,CHOOSE(L31-128+1,C31,D31,E31,F31),L31)),256),D31),IF(J31=14,IF(K31=1,_xlfn.BITAND(D31,(IF(L31&gt;=128,CHOOSE(L31-128+1,C31,D31,E31,F31),L31))),D31),IF(J31=16,IF(K31=1,_xlfn.BITOR(D31,(IF(L31&gt;=128,CHOOSE(L31-128+1,C31,D31,E31,F31),L31))),D31),IF(J31=17,IF(K31=1,_xlfn.BITXOR(D31,(IF(L31&gt;=128,CHOOSE(L31-128+1,C31,D31,E31,F31),L31))),D31),IF(J31=18,IF(1=1,QUOTIENT(C31,(IF(L31&gt;=128,CHOOSE(L31-128+1,C31,D31,E31,F31),L31))),IF(1=3,MOD(C31,(IF(L31&gt;=128,CHOOSE(L31-128+1,C31,D31,E31,F31),L31))),D31)),IF(J31=13,D31,D31)))))))))))))))</f>
        <v>5</v>
      </c>
      <c r="E32" cm="1">
        <f t="array" ref="E32">IF(M31=1,E31,IF(J31=15,E31,IF(J31=1,IF(K31=2,L31,E31),IF(J31=2,IF(K31=2,INDEX(N31:AC31,1,L31+1),E31),IF(J31=4,IF(K31=2,CHOOSE(L31+1,C31,D31,E31,F31),E31),IF(J31=5,IF(K31=2,MOD(E31+L31,256),E31),IF(J31=6,IF(K31=2,MOD(E31+CHOOSE(L31+1,C31,D31,E31,F31),256),E31),IF(J31=7,IF(K31=2,MOD(E31-L31,256),E31),IF(J31=8,IF(K31=2,MOD(E31-CHOOSE(L31+1,C31,D31,E31,F31),256),E31),IF(J31=12,IF(K31=2,MOD(E31*(IF(L31&gt;=128,CHOOSE(L31-128+1,C31,D31,E31,F31),L31)),256),E31),IF(J31=14,IF(K31=2,_xlfn.BITAND(E31,(IF(L31&gt;=128,CHOOSE(L31-128+1,C31,D31,E31,F31),L31))),E31),IF(J31=16,IF(K31=2,_xlfn.BITOR(E31,(IF(L31&gt;=128,CHOOSE(L31-128+1,C31,D31,E31,F31),L31))),E31),IF(J31=17,IF(K31=2,_xlfn.BITXOR(E31,(IF(L31&gt;=128,CHOOSE(L31-128+1,C31,D31,E31,F31),L31))),E31),IF(J31=18,IF(2=1,QUOTIENT(C31,(IF(L31&gt;=128,CHOOSE(L31-128+1,C31,D31,E31,F31),L31))),IF(2=3,MOD(C31,(IF(L31&gt;=128,CHOOSE(L31-128+1,C31,D31,E31,F31),L31))),E31)),IF(J31=13,MOD(E31-1,256),E31)))))))))))))))</f>
        <v>0</v>
      </c>
      <c r="F32" cm="1">
        <f t="array" ref="F32">IF(M31=1,F31,IF(J31=15,F31,IF(J31=1,IF(K31=3,L31,F31),IF(J31=2,IF(K31=3,INDEX(N31:AC31,1,L31+1),F31),IF(J31=4,IF(K31=3,CHOOSE(L31+1,C31,D31,E31,F31),F31),IF(J31=5,IF(K31=3,MOD(F31+L31,256),F31),IF(J31=6,IF(K31=3,MOD(F31+CHOOSE(L31+1,C31,D31,E31,F31),256),F31),IF(J31=7,IF(K31=3,MOD(F31-L31,256),F31),IF(J31=8,IF(K31=3,MOD(F31-CHOOSE(L31+1,C31,D31,E31,F31),256),F31),IF(J31=12,IF(K31=3,MOD(F31*(IF(L31&gt;=128,CHOOSE(L31-128+1,C31,D31,E31,F31),L31)),256),F31),IF(J31=14,IF(K31=3,_xlfn.BITAND(F31,(IF(L31&gt;=128,CHOOSE(L31-128+1,C31,D31,E31,F31),L31))),F31),IF(J31=16,IF(K31=3,_xlfn.BITOR(F31,(IF(L31&gt;=128,CHOOSE(L31-128+1,C31,D31,E31,F31),L31))),F31),IF(J31=17,IF(K31=3,_xlfn.BITXOR(F31,(IF(L31&gt;=128,CHOOSE(L31-128+1,C31,D31,E31,F31),L31))),F31),IF(J31=18,IF(3=1,QUOTIENT(C31,(IF(L31&gt;=128,CHOOSE(L31-128+1,C31,D31,E31,F31),L31))),IF(3=3,MOD(C31,(IF(L31&gt;=128,CHOOSE(L31-128+1,C31,D31,E31,F31),L31))),F31)),IF(J31=13,F31,F31)))))))))))))))</f>
        <v>0</v>
      </c>
      <c r="G32">
        <f t="shared" si="2"/>
        <v>0</v>
      </c>
      <c r="H32">
        <f t="shared" si="3"/>
        <v>0</v>
      </c>
      <c r="I32">
        <f t="shared" si="4"/>
        <v>0</v>
      </c>
      <c r="J32" cm="1">
        <f t="array" ref="J32">INDEX(PROGRAM!$E$2:$E$257, B32+1)</f>
        <v>15</v>
      </c>
      <c r="K32" cm="1">
        <f t="array" ref="K32">INDEX(PROGRAM!$F$2:$F$257, B32+1)</f>
        <v>0</v>
      </c>
      <c r="L32" cm="1">
        <f t="array" ref="L32">INDEX(PROGRAM!$G$2:$G$257, B32+1)</f>
        <v>0</v>
      </c>
      <c r="M32">
        <f t="shared" si="5"/>
        <v>1</v>
      </c>
      <c r="N32">
        <f t="shared" si="6"/>
        <v>0</v>
      </c>
      <c r="O32">
        <f t="shared" si="7"/>
        <v>10</v>
      </c>
      <c r="P32">
        <f t="shared" si="8"/>
        <v>15</v>
      </c>
      <c r="Q32">
        <f t="shared" si="9"/>
        <v>0</v>
      </c>
      <c r="R32">
        <f t="shared" si="10"/>
        <v>0</v>
      </c>
      <c r="S32">
        <f t="shared" si="11"/>
        <v>0</v>
      </c>
      <c r="T32">
        <f t="shared" si="12"/>
        <v>0</v>
      </c>
      <c r="U32">
        <f t="shared" si="13"/>
        <v>5</v>
      </c>
      <c r="V32">
        <f t="shared" si="14"/>
        <v>0</v>
      </c>
      <c r="W32">
        <f t="shared" si="15"/>
        <v>0</v>
      </c>
      <c r="X32">
        <f t="shared" si="16"/>
        <v>3</v>
      </c>
      <c r="Y32">
        <f t="shared" si="17"/>
        <v>0</v>
      </c>
      <c r="Z32">
        <f t="shared" si="18"/>
        <v>0</v>
      </c>
      <c r="AA32">
        <f t="shared" si="19"/>
        <v>0</v>
      </c>
      <c r="AB32">
        <f t="shared" si="20"/>
        <v>0</v>
      </c>
      <c r="AC32">
        <f t="shared" si="21"/>
        <v>0</v>
      </c>
    </row>
    <row r="33" spans="1:29" x14ac:dyDescent="0.2">
      <c r="A33">
        <f t="shared" si="0"/>
        <v>31</v>
      </c>
      <c r="B33">
        <f t="shared" si="1"/>
        <v>4</v>
      </c>
      <c r="C33" cm="1">
        <f t="array" ref="C33">IF(M32=1,C32,IF(J32=15,C32,IF(J32=1,IF(K32=0,L32,C32),IF(J32=2,IF(K32=0,INDEX(N32:AC32,1,L32+1),C32),IF(J32=4,IF(K32=0,CHOOSE(L32+1,C32,D32,E32,F32),C32),IF(J32=5,IF(K32=0,MOD(C32+L32,256),C32),IF(J32=6,IF(K32=0,MOD(C32+CHOOSE(L32+1,C32,D32,E32,F32),256),C32),IF(J32=7,IF(K32=0,MOD(C32-L32,256),C32),IF(J32=8,IF(K32=0,MOD(C32-CHOOSE(L32+1,C32,D32,E32,F32),256),C32),IF(J32=12,IF(K32=0,MOD(C32*(IF(L32&gt;=128,CHOOSE(L32-128+1,C32,D32,E32,F32),L32)),256),C32),IF(J32=14,IF(K32=0,_xlfn.BITAND(C32,(IF(L32&gt;=128,CHOOSE(L32-128+1,C32,D32,E32,F32),L32))),C32),IF(J32=16,IF(K32=0,_xlfn.BITOR(C32,(IF(L32&gt;=128,CHOOSE(L32-128+1,C32,D32,E32,F32),L32))),C32),IF(J32=17,IF(K32=0,_xlfn.BITXOR(C32,(IF(L32&gt;=128,CHOOSE(L32-128+1,C32,D32,E32,F32),L32))),C32),IF(J32=18,IF(0=1,QUOTIENT(C32,(IF(L32&gt;=128,CHOOSE(L32-128+1,C32,D32,E32,F32),L32))),IF(0=3,MOD(C32,(IF(L32&gt;=128,CHOOSE(L32-128+1,C32,D32,E32,F32),L32))),C32)),IF(J32=13,C32,C32)))))))))))))))</f>
        <v>10</v>
      </c>
      <c r="D33" cm="1">
        <f t="array" ref="D33">IF(M32=1,D32,IF(J32=15,D32,IF(J32=1,IF(K32=1,L32,D32),IF(J32=2,IF(K32=1,INDEX(N32:AC32,1,L32+1),D32),IF(J32=4,IF(K32=1,CHOOSE(L32+1,C32,D32,E32,F32),D32),IF(J32=5,IF(K32=1,MOD(D32+L32,256),D32),IF(J32=6,IF(K32=1,MOD(D32+CHOOSE(L32+1,C32,D32,E32,F32),256),D32),IF(J32=7,IF(K32=1,MOD(D32-L32,256),D32),IF(J32=8,IF(K32=1,MOD(D32-CHOOSE(L32+1,C32,D32,E32,F32),256),D32),IF(J32=12,IF(K32=1,MOD(D32*(IF(L32&gt;=128,CHOOSE(L32-128+1,C32,D32,E32,F32),L32)),256),D32),IF(J32=14,IF(K32=1,_xlfn.BITAND(D32,(IF(L32&gt;=128,CHOOSE(L32-128+1,C32,D32,E32,F32),L32))),D32),IF(J32=16,IF(K32=1,_xlfn.BITOR(D32,(IF(L32&gt;=128,CHOOSE(L32-128+1,C32,D32,E32,F32),L32))),D32),IF(J32=17,IF(K32=1,_xlfn.BITXOR(D32,(IF(L32&gt;=128,CHOOSE(L32-128+1,C32,D32,E32,F32),L32))),D32),IF(J32=18,IF(1=1,QUOTIENT(C32,(IF(L32&gt;=128,CHOOSE(L32-128+1,C32,D32,E32,F32),L32))),IF(1=3,MOD(C32,(IF(L32&gt;=128,CHOOSE(L32-128+1,C32,D32,E32,F32),L32))),D32)),IF(J32=13,D32,D32)))))))))))))))</f>
        <v>5</v>
      </c>
      <c r="E33" cm="1">
        <f t="array" ref="E33">IF(M32=1,E32,IF(J32=15,E32,IF(J32=1,IF(K32=2,L32,E32),IF(J32=2,IF(K32=2,INDEX(N32:AC32,1,L32+1),E32),IF(J32=4,IF(K32=2,CHOOSE(L32+1,C32,D32,E32,F32),E32),IF(J32=5,IF(K32=2,MOD(E32+L32,256),E32),IF(J32=6,IF(K32=2,MOD(E32+CHOOSE(L32+1,C32,D32,E32,F32),256),E32),IF(J32=7,IF(K32=2,MOD(E32-L32,256),E32),IF(J32=8,IF(K32=2,MOD(E32-CHOOSE(L32+1,C32,D32,E32,F32),256),E32),IF(J32=12,IF(K32=2,MOD(E32*(IF(L32&gt;=128,CHOOSE(L32-128+1,C32,D32,E32,F32),L32)),256),E32),IF(J32=14,IF(K32=2,_xlfn.BITAND(E32,(IF(L32&gt;=128,CHOOSE(L32-128+1,C32,D32,E32,F32),L32))),E32),IF(J32=16,IF(K32=2,_xlfn.BITOR(E32,(IF(L32&gt;=128,CHOOSE(L32-128+1,C32,D32,E32,F32),L32))),E32),IF(J32=17,IF(K32=2,_xlfn.BITXOR(E32,(IF(L32&gt;=128,CHOOSE(L32-128+1,C32,D32,E32,F32),L32))),E32),IF(J32=18,IF(2=1,QUOTIENT(C32,(IF(L32&gt;=128,CHOOSE(L32-128+1,C32,D32,E32,F32),L32))),IF(2=3,MOD(C32,(IF(L32&gt;=128,CHOOSE(L32-128+1,C32,D32,E32,F32),L32))),E32)),IF(J32=13,MOD(E32-1,256),E32)))))))))))))))</f>
        <v>0</v>
      </c>
      <c r="F33" cm="1">
        <f t="array" ref="F33">IF(M32=1,F32,IF(J32=15,F32,IF(J32=1,IF(K32=3,L32,F32),IF(J32=2,IF(K32=3,INDEX(N32:AC32,1,L32+1),F32),IF(J32=4,IF(K32=3,CHOOSE(L32+1,C32,D32,E32,F32),F32),IF(J32=5,IF(K32=3,MOD(F32+L32,256),F32),IF(J32=6,IF(K32=3,MOD(F32+CHOOSE(L32+1,C32,D32,E32,F32),256),F32),IF(J32=7,IF(K32=3,MOD(F32-L32,256),F32),IF(J32=8,IF(K32=3,MOD(F32-CHOOSE(L32+1,C32,D32,E32,F32),256),F32),IF(J32=12,IF(K32=3,MOD(F32*(IF(L32&gt;=128,CHOOSE(L32-128+1,C32,D32,E32,F32),L32)),256),F32),IF(J32=14,IF(K32=3,_xlfn.BITAND(F32,(IF(L32&gt;=128,CHOOSE(L32-128+1,C32,D32,E32,F32),L32))),F32),IF(J32=16,IF(K32=3,_xlfn.BITOR(F32,(IF(L32&gt;=128,CHOOSE(L32-128+1,C32,D32,E32,F32),L32))),F32),IF(J32=17,IF(K32=3,_xlfn.BITXOR(F32,(IF(L32&gt;=128,CHOOSE(L32-128+1,C32,D32,E32,F32),L32))),F32),IF(J32=18,IF(3=1,QUOTIENT(C32,(IF(L32&gt;=128,CHOOSE(L32-128+1,C32,D32,E32,F32),L32))),IF(3=3,MOD(C32,(IF(L32&gt;=128,CHOOSE(L32-128+1,C32,D32,E32,F32),L32))),F32)),IF(J32=13,F32,F32)))))))))))))))</f>
        <v>0</v>
      </c>
      <c r="G33">
        <f t="shared" si="2"/>
        <v>0</v>
      </c>
      <c r="H33">
        <f t="shared" si="3"/>
        <v>0</v>
      </c>
      <c r="I33">
        <f t="shared" si="4"/>
        <v>0</v>
      </c>
      <c r="J33" cm="1">
        <f t="array" ref="J33">INDEX(PROGRAM!$E$2:$E$257, B33+1)</f>
        <v>15</v>
      </c>
      <c r="K33" cm="1">
        <f t="array" ref="K33">INDEX(PROGRAM!$F$2:$F$257, B33+1)</f>
        <v>0</v>
      </c>
      <c r="L33" cm="1">
        <f t="array" ref="L33">INDEX(PROGRAM!$G$2:$G$257, B33+1)</f>
        <v>0</v>
      </c>
      <c r="M33">
        <f t="shared" si="5"/>
        <v>1</v>
      </c>
      <c r="N33">
        <f t="shared" si="6"/>
        <v>0</v>
      </c>
      <c r="O33">
        <f t="shared" si="7"/>
        <v>10</v>
      </c>
      <c r="P33">
        <f t="shared" si="8"/>
        <v>15</v>
      </c>
      <c r="Q33">
        <f t="shared" si="9"/>
        <v>0</v>
      </c>
      <c r="R33">
        <f t="shared" si="10"/>
        <v>0</v>
      </c>
      <c r="S33">
        <f t="shared" si="11"/>
        <v>0</v>
      </c>
      <c r="T33">
        <f t="shared" si="12"/>
        <v>0</v>
      </c>
      <c r="U33">
        <f t="shared" si="13"/>
        <v>5</v>
      </c>
      <c r="V33">
        <f t="shared" si="14"/>
        <v>0</v>
      </c>
      <c r="W33">
        <f t="shared" si="15"/>
        <v>0</v>
      </c>
      <c r="X33">
        <f t="shared" si="16"/>
        <v>3</v>
      </c>
      <c r="Y33">
        <f t="shared" si="17"/>
        <v>0</v>
      </c>
      <c r="Z33">
        <f t="shared" si="18"/>
        <v>0</v>
      </c>
      <c r="AA33">
        <f t="shared" si="19"/>
        <v>0</v>
      </c>
      <c r="AB33">
        <f t="shared" si="20"/>
        <v>0</v>
      </c>
      <c r="AC33">
        <f t="shared" si="21"/>
        <v>0</v>
      </c>
    </row>
    <row r="34" spans="1:29" x14ac:dyDescent="0.2">
      <c r="A34">
        <f t="shared" si="0"/>
        <v>32</v>
      </c>
      <c r="B34">
        <f t="shared" si="1"/>
        <v>4</v>
      </c>
      <c r="C34" cm="1">
        <f t="array" ref="C34">IF(M33=1,C33,IF(J33=15,C33,IF(J33=1,IF(K33=0,L33,C33),IF(J33=2,IF(K33=0,INDEX(N33:AC33,1,L33+1),C33),IF(J33=4,IF(K33=0,CHOOSE(L33+1,C33,D33,E33,F33),C33),IF(J33=5,IF(K33=0,MOD(C33+L33,256),C33),IF(J33=6,IF(K33=0,MOD(C33+CHOOSE(L33+1,C33,D33,E33,F33),256),C33),IF(J33=7,IF(K33=0,MOD(C33-L33,256),C33),IF(J33=8,IF(K33=0,MOD(C33-CHOOSE(L33+1,C33,D33,E33,F33),256),C33),IF(J33=12,IF(K33=0,MOD(C33*(IF(L33&gt;=128,CHOOSE(L33-128+1,C33,D33,E33,F33),L33)),256),C33),IF(J33=14,IF(K33=0,_xlfn.BITAND(C33,(IF(L33&gt;=128,CHOOSE(L33-128+1,C33,D33,E33,F33),L33))),C33),IF(J33=16,IF(K33=0,_xlfn.BITOR(C33,(IF(L33&gt;=128,CHOOSE(L33-128+1,C33,D33,E33,F33),L33))),C33),IF(J33=17,IF(K33=0,_xlfn.BITXOR(C33,(IF(L33&gt;=128,CHOOSE(L33-128+1,C33,D33,E33,F33),L33))),C33),IF(J33=18,IF(0=1,QUOTIENT(C33,(IF(L33&gt;=128,CHOOSE(L33-128+1,C33,D33,E33,F33),L33))),IF(0=3,MOD(C33,(IF(L33&gt;=128,CHOOSE(L33-128+1,C33,D33,E33,F33),L33))),C33)),IF(J33=13,C33,C33)))))))))))))))</f>
        <v>10</v>
      </c>
      <c r="D34" cm="1">
        <f t="array" ref="D34">IF(M33=1,D33,IF(J33=15,D33,IF(J33=1,IF(K33=1,L33,D33),IF(J33=2,IF(K33=1,INDEX(N33:AC33,1,L33+1),D33),IF(J33=4,IF(K33=1,CHOOSE(L33+1,C33,D33,E33,F33),D33),IF(J33=5,IF(K33=1,MOD(D33+L33,256),D33),IF(J33=6,IF(K33=1,MOD(D33+CHOOSE(L33+1,C33,D33,E33,F33),256),D33),IF(J33=7,IF(K33=1,MOD(D33-L33,256),D33),IF(J33=8,IF(K33=1,MOD(D33-CHOOSE(L33+1,C33,D33,E33,F33),256),D33),IF(J33=12,IF(K33=1,MOD(D33*(IF(L33&gt;=128,CHOOSE(L33-128+1,C33,D33,E33,F33),L33)),256),D33),IF(J33=14,IF(K33=1,_xlfn.BITAND(D33,(IF(L33&gt;=128,CHOOSE(L33-128+1,C33,D33,E33,F33),L33))),D33),IF(J33=16,IF(K33=1,_xlfn.BITOR(D33,(IF(L33&gt;=128,CHOOSE(L33-128+1,C33,D33,E33,F33),L33))),D33),IF(J33=17,IF(K33=1,_xlfn.BITXOR(D33,(IF(L33&gt;=128,CHOOSE(L33-128+1,C33,D33,E33,F33),L33))),D33),IF(J33=18,IF(1=1,QUOTIENT(C33,(IF(L33&gt;=128,CHOOSE(L33-128+1,C33,D33,E33,F33),L33))),IF(1=3,MOD(C33,(IF(L33&gt;=128,CHOOSE(L33-128+1,C33,D33,E33,F33),L33))),D33)),IF(J33=13,D33,D33)))))))))))))))</f>
        <v>5</v>
      </c>
      <c r="E34" cm="1">
        <f t="array" ref="E34">IF(M33=1,E33,IF(J33=15,E33,IF(J33=1,IF(K33=2,L33,E33),IF(J33=2,IF(K33=2,INDEX(N33:AC33,1,L33+1),E33),IF(J33=4,IF(K33=2,CHOOSE(L33+1,C33,D33,E33,F33),E33),IF(J33=5,IF(K33=2,MOD(E33+L33,256),E33),IF(J33=6,IF(K33=2,MOD(E33+CHOOSE(L33+1,C33,D33,E33,F33),256),E33),IF(J33=7,IF(K33=2,MOD(E33-L33,256),E33),IF(J33=8,IF(K33=2,MOD(E33-CHOOSE(L33+1,C33,D33,E33,F33),256),E33),IF(J33=12,IF(K33=2,MOD(E33*(IF(L33&gt;=128,CHOOSE(L33-128+1,C33,D33,E33,F33),L33)),256),E33),IF(J33=14,IF(K33=2,_xlfn.BITAND(E33,(IF(L33&gt;=128,CHOOSE(L33-128+1,C33,D33,E33,F33),L33))),E33),IF(J33=16,IF(K33=2,_xlfn.BITOR(E33,(IF(L33&gt;=128,CHOOSE(L33-128+1,C33,D33,E33,F33),L33))),E33),IF(J33=17,IF(K33=2,_xlfn.BITXOR(E33,(IF(L33&gt;=128,CHOOSE(L33-128+1,C33,D33,E33,F33),L33))),E33),IF(J33=18,IF(2=1,QUOTIENT(C33,(IF(L33&gt;=128,CHOOSE(L33-128+1,C33,D33,E33,F33),L33))),IF(2=3,MOD(C33,(IF(L33&gt;=128,CHOOSE(L33-128+1,C33,D33,E33,F33),L33))),E33)),IF(J33=13,MOD(E33-1,256),E33)))))))))))))))</f>
        <v>0</v>
      </c>
      <c r="F34" cm="1">
        <f t="array" ref="F34">IF(M33=1,F33,IF(J33=15,F33,IF(J33=1,IF(K33=3,L33,F33),IF(J33=2,IF(K33=3,INDEX(N33:AC33,1,L33+1),F33),IF(J33=4,IF(K33=3,CHOOSE(L33+1,C33,D33,E33,F33),F33),IF(J33=5,IF(K33=3,MOD(F33+L33,256),F33),IF(J33=6,IF(K33=3,MOD(F33+CHOOSE(L33+1,C33,D33,E33,F33),256),F33),IF(J33=7,IF(K33=3,MOD(F33-L33,256),F33),IF(J33=8,IF(K33=3,MOD(F33-CHOOSE(L33+1,C33,D33,E33,F33),256),F33),IF(J33=12,IF(K33=3,MOD(F33*(IF(L33&gt;=128,CHOOSE(L33-128+1,C33,D33,E33,F33),L33)),256),F33),IF(J33=14,IF(K33=3,_xlfn.BITAND(F33,(IF(L33&gt;=128,CHOOSE(L33-128+1,C33,D33,E33,F33),L33))),F33),IF(J33=16,IF(K33=3,_xlfn.BITOR(F33,(IF(L33&gt;=128,CHOOSE(L33-128+1,C33,D33,E33,F33),L33))),F33),IF(J33=17,IF(K33=3,_xlfn.BITXOR(F33,(IF(L33&gt;=128,CHOOSE(L33-128+1,C33,D33,E33,F33),L33))),F33),IF(J33=18,IF(3=1,QUOTIENT(C33,(IF(L33&gt;=128,CHOOSE(L33-128+1,C33,D33,E33,F33),L33))),IF(3=3,MOD(C33,(IF(L33&gt;=128,CHOOSE(L33-128+1,C33,D33,E33,F33),L33))),F33)),IF(J33=13,F33,F33)))))))))))))))</f>
        <v>0</v>
      </c>
      <c r="G34">
        <f t="shared" si="2"/>
        <v>0</v>
      </c>
      <c r="H34">
        <f t="shared" si="3"/>
        <v>0</v>
      </c>
      <c r="I34">
        <f t="shared" si="4"/>
        <v>0</v>
      </c>
      <c r="J34" cm="1">
        <f t="array" ref="J34">INDEX(PROGRAM!$E$2:$E$257, B34+1)</f>
        <v>15</v>
      </c>
      <c r="K34" cm="1">
        <f t="array" ref="K34">INDEX(PROGRAM!$F$2:$F$257, B34+1)</f>
        <v>0</v>
      </c>
      <c r="L34" cm="1">
        <f t="array" ref="L34">INDEX(PROGRAM!$G$2:$G$257, B34+1)</f>
        <v>0</v>
      </c>
      <c r="M34">
        <f t="shared" si="5"/>
        <v>1</v>
      </c>
      <c r="N34">
        <f t="shared" si="6"/>
        <v>0</v>
      </c>
      <c r="O34">
        <f t="shared" si="7"/>
        <v>10</v>
      </c>
      <c r="P34">
        <f t="shared" si="8"/>
        <v>15</v>
      </c>
      <c r="Q34">
        <f t="shared" si="9"/>
        <v>0</v>
      </c>
      <c r="R34">
        <f t="shared" si="10"/>
        <v>0</v>
      </c>
      <c r="S34">
        <f t="shared" si="11"/>
        <v>0</v>
      </c>
      <c r="T34">
        <f t="shared" si="12"/>
        <v>0</v>
      </c>
      <c r="U34">
        <f t="shared" si="13"/>
        <v>5</v>
      </c>
      <c r="V34">
        <f t="shared" si="14"/>
        <v>0</v>
      </c>
      <c r="W34">
        <f t="shared" si="15"/>
        <v>0</v>
      </c>
      <c r="X34">
        <f t="shared" si="16"/>
        <v>3</v>
      </c>
      <c r="Y34">
        <f t="shared" si="17"/>
        <v>0</v>
      </c>
      <c r="Z34">
        <f t="shared" si="18"/>
        <v>0</v>
      </c>
      <c r="AA34">
        <f t="shared" si="19"/>
        <v>0</v>
      </c>
      <c r="AB34">
        <f t="shared" si="20"/>
        <v>0</v>
      </c>
      <c r="AC34">
        <f t="shared" si="21"/>
        <v>0</v>
      </c>
    </row>
    <row r="35" spans="1:29" x14ac:dyDescent="0.2">
      <c r="A35">
        <f t="shared" ref="A35:A66" si="22">A34+1</f>
        <v>33</v>
      </c>
      <c r="B35">
        <f t="shared" ref="B35:B66" si="23">IF(M34=1,B34,IF(J34=15,B34,IF(J34=9,K34,IF(J34=10,IF(G34=1,K34,B34+1),IF(J34=11,IF(G34=0,K34,B34+1),IF(J34=13,IF(MOD(E34-1,256)&lt;&gt;0,K34,B34+1),B34+1))))))</f>
        <v>4</v>
      </c>
      <c r="C35" cm="1">
        <f t="array" ref="C35">IF(M34=1,C34,IF(J34=15,C34,IF(J34=1,IF(K34=0,L34,C34),IF(J34=2,IF(K34=0,INDEX(N34:AC34,1,L34+1),C34),IF(J34=4,IF(K34=0,CHOOSE(L34+1,C34,D34,E34,F34),C34),IF(J34=5,IF(K34=0,MOD(C34+L34,256),C34),IF(J34=6,IF(K34=0,MOD(C34+CHOOSE(L34+1,C34,D34,E34,F34),256),C34),IF(J34=7,IF(K34=0,MOD(C34-L34,256),C34),IF(J34=8,IF(K34=0,MOD(C34-CHOOSE(L34+1,C34,D34,E34,F34),256),C34),IF(J34=12,IF(K34=0,MOD(C34*(IF(L34&gt;=128,CHOOSE(L34-128+1,C34,D34,E34,F34),L34)),256),C34),IF(J34=14,IF(K34=0,_xlfn.BITAND(C34,(IF(L34&gt;=128,CHOOSE(L34-128+1,C34,D34,E34,F34),L34))),C34),IF(J34=16,IF(K34=0,_xlfn.BITOR(C34,(IF(L34&gt;=128,CHOOSE(L34-128+1,C34,D34,E34,F34),L34))),C34),IF(J34=17,IF(K34=0,_xlfn.BITXOR(C34,(IF(L34&gt;=128,CHOOSE(L34-128+1,C34,D34,E34,F34),L34))),C34),IF(J34=18,IF(0=1,QUOTIENT(C34,(IF(L34&gt;=128,CHOOSE(L34-128+1,C34,D34,E34,F34),L34))),IF(0=3,MOD(C34,(IF(L34&gt;=128,CHOOSE(L34-128+1,C34,D34,E34,F34),L34))),C34)),IF(J34=13,C34,C34)))))))))))))))</f>
        <v>10</v>
      </c>
      <c r="D35" cm="1">
        <f t="array" ref="D35">IF(M34=1,D34,IF(J34=15,D34,IF(J34=1,IF(K34=1,L34,D34),IF(J34=2,IF(K34=1,INDEX(N34:AC34,1,L34+1),D34),IF(J34=4,IF(K34=1,CHOOSE(L34+1,C34,D34,E34,F34),D34),IF(J34=5,IF(K34=1,MOD(D34+L34,256),D34),IF(J34=6,IF(K34=1,MOD(D34+CHOOSE(L34+1,C34,D34,E34,F34),256),D34),IF(J34=7,IF(K34=1,MOD(D34-L34,256),D34),IF(J34=8,IF(K34=1,MOD(D34-CHOOSE(L34+1,C34,D34,E34,F34),256),D34),IF(J34=12,IF(K34=1,MOD(D34*(IF(L34&gt;=128,CHOOSE(L34-128+1,C34,D34,E34,F34),L34)),256),D34),IF(J34=14,IF(K34=1,_xlfn.BITAND(D34,(IF(L34&gt;=128,CHOOSE(L34-128+1,C34,D34,E34,F34),L34))),D34),IF(J34=16,IF(K34=1,_xlfn.BITOR(D34,(IF(L34&gt;=128,CHOOSE(L34-128+1,C34,D34,E34,F34),L34))),D34),IF(J34=17,IF(K34=1,_xlfn.BITXOR(D34,(IF(L34&gt;=128,CHOOSE(L34-128+1,C34,D34,E34,F34),L34))),D34),IF(J34=18,IF(1=1,QUOTIENT(C34,(IF(L34&gt;=128,CHOOSE(L34-128+1,C34,D34,E34,F34),L34))),IF(1=3,MOD(C34,(IF(L34&gt;=128,CHOOSE(L34-128+1,C34,D34,E34,F34),L34))),D34)),IF(J34=13,D34,D34)))))))))))))))</f>
        <v>5</v>
      </c>
      <c r="E35" cm="1">
        <f t="array" ref="E35">IF(M34=1,E34,IF(J34=15,E34,IF(J34=1,IF(K34=2,L34,E34),IF(J34=2,IF(K34=2,INDEX(N34:AC34,1,L34+1),E34),IF(J34=4,IF(K34=2,CHOOSE(L34+1,C34,D34,E34,F34),E34),IF(J34=5,IF(K34=2,MOD(E34+L34,256),E34),IF(J34=6,IF(K34=2,MOD(E34+CHOOSE(L34+1,C34,D34,E34,F34),256),E34),IF(J34=7,IF(K34=2,MOD(E34-L34,256),E34),IF(J34=8,IF(K34=2,MOD(E34-CHOOSE(L34+1,C34,D34,E34,F34),256),E34),IF(J34=12,IF(K34=2,MOD(E34*(IF(L34&gt;=128,CHOOSE(L34-128+1,C34,D34,E34,F34),L34)),256),E34),IF(J34=14,IF(K34=2,_xlfn.BITAND(E34,(IF(L34&gt;=128,CHOOSE(L34-128+1,C34,D34,E34,F34),L34))),E34),IF(J34=16,IF(K34=2,_xlfn.BITOR(E34,(IF(L34&gt;=128,CHOOSE(L34-128+1,C34,D34,E34,F34),L34))),E34),IF(J34=17,IF(K34=2,_xlfn.BITXOR(E34,(IF(L34&gt;=128,CHOOSE(L34-128+1,C34,D34,E34,F34),L34))),E34),IF(J34=18,IF(2=1,QUOTIENT(C34,(IF(L34&gt;=128,CHOOSE(L34-128+1,C34,D34,E34,F34),L34))),IF(2=3,MOD(C34,(IF(L34&gt;=128,CHOOSE(L34-128+1,C34,D34,E34,F34),L34))),E34)),IF(J34=13,MOD(E34-1,256),E34)))))))))))))))</f>
        <v>0</v>
      </c>
      <c r="F35" cm="1">
        <f t="array" ref="F35">IF(M34=1,F34,IF(J34=15,F34,IF(J34=1,IF(K34=3,L34,F34),IF(J34=2,IF(K34=3,INDEX(N34:AC34,1,L34+1),F34),IF(J34=4,IF(K34=3,CHOOSE(L34+1,C34,D34,E34,F34),F34),IF(J34=5,IF(K34=3,MOD(F34+L34,256),F34),IF(J34=6,IF(K34=3,MOD(F34+CHOOSE(L34+1,C34,D34,E34,F34),256),F34),IF(J34=7,IF(K34=3,MOD(F34-L34,256),F34),IF(J34=8,IF(K34=3,MOD(F34-CHOOSE(L34+1,C34,D34,E34,F34),256),F34),IF(J34=12,IF(K34=3,MOD(F34*(IF(L34&gt;=128,CHOOSE(L34-128+1,C34,D34,E34,F34),L34)),256),F34),IF(J34=14,IF(K34=3,_xlfn.BITAND(F34,(IF(L34&gt;=128,CHOOSE(L34-128+1,C34,D34,E34,F34),L34))),F34),IF(J34=16,IF(K34=3,_xlfn.BITOR(F34,(IF(L34&gt;=128,CHOOSE(L34-128+1,C34,D34,E34,F34),L34))),F34),IF(J34=17,IF(K34=3,_xlfn.BITXOR(F34,(IF(L34&gt;=128,CHOOSE(L34-128+1,C34,D34,E34,F34),L34))),F34),IF(J34=18,IF(3=1,QUOTIENT(C34,(IF(L34&gt;=128,CHOOSE(L34-128+1,C34,D34,E34,F34),L34))),IF(3=3,MOD(C34,(IF(L34&gt;=128,CHOOSE(L34-128+1,C34,D34,E34,F34),L34))),F34)),IF(J34=13,F34,F34)))))))))))))))</f>
        <v>0</v>
      </c>
      <c r="G35">
        <f t="shared" ref="G35:G66" si="24">IF(M34=1,G34,IF(OR(J34=5,J34=6,J34=7,J34=8),IF(IF(J34=5,MOD(CHOOSE(K34+1,C34,D34,E34,F34)+L34,256),IF(J34=6,MOD(CHOOSE(K34+1,C34,D34,E34,F34)+CHOOSE(L34+1,C34,D34,E34,F34),256),IF(J34=7,MOD(CHOOSE(K34+1,C34,D34,E34,F34)-L34,256),MOD(CHOOSE(K34+1,C34,D34,E34,F34)-CHOOSE(L34+1,C34,D34,E34,F34),256))))=0,1,0),G34))</f>
        <v>0</v>
      </c>
      <c r="H35">
        <f t="shared" ref="H35:H66" si="25">IF(M34=1,H34,IF(J34=5,IF(CHOOSE(K34+1,C34,D34,E34,F34)+L34&gt;255,1,0),IF(J34=6,IF(CHOOSE(K34+1,C34,D34,E34,F34)+CHOOSE(L34+1,C34,D34,E34,F34)&gt;255,1,0),IF(J34=7,IF(CHOOSE(K34+1,C34,D34,E34,F34)&lt;L34,1,0),IF(J34=8,IF(CHOOSE(K34+1,C34,D34,E34,F34)&lt;CHOOSE(L34+1,C34,D34,E34,F34),1,0),H34)))))</f>
        <v>0</v>
      </c>
      <c r="I35">
        <f t="shared" ref="I35:I66" si="26">IF(M34=1,I34,IF(OR(J34=5,J34=6,J34=7,J34=8),IF(IF(J34=5,MOD(CHOOSE(K34+1,C34,D34,E34,F34)+L34,256),IF(J34=6,MOD(CHOOSE(K34+1,C34,D34,E34,F34)+CHOOSE(L34+1,C34,D34,E34,F34),256),IF(J34=7,MOD(CHOOSE(K34+1,C34,D34,E34,F34)-L34,256),MOD(CHOOSE(K34+1,C34,D34,E34,F34)-CHOOSE(L34+1,C34,D34,E34,F34),256))))&gt;=128,1,0),I34))</f>
        <v>0</v>
      </c>
      <c r="J35" cm="1">
        <f t="array" ref="J35">INDEX(PROGRAM!$E$2:$E$257, B35+1)</f>
        <v>15</v>
      </c>
      <c r="K35" cm="1">
        <f t="array" ref="K35">INDEX(PROGRAM!$F$2:$F$257, B35+1)</f>
        <v>0</v>
      </c>
      <c r="L35" cm="1">
        <f t="array" ref="L35">INDEX(PROGRAM!$G$2:$G$257, B35+1)</f>
        <v>0</v>
      </c>
      <c r="M35">
        <f t="shared" ref="M35:M66" si="27">IF(M34=1,1,IF(J34=15,1,0))</f>
        <v>1</v>
      </c>
      <c r="N35">
        <f t="shared" ref="N35:N66" si="28">IF(M34=1,N34,IF(J34=3,IF(K34=0,C34,N34),N34))</f>
        <v>0</v>
      </c>
      <c r="O35">
        <f t="shared" ref="O35:O66" si="29">IF(M34=1,O34,IF(J34=3,IF(K34=1,C34,O34),O34))</f>
        <v>10</v>
      </c>
      <c r="P35">
        <f t="shared" ref="P35:P66" si="30">IF(M34=1,P34,IF(J34=3,IF(K34=2,C34,P34),P34))</f>
        <v>15</v>
      </c>
      <c r="Q35">
        <f t="shared" ref="Q35:Q66" si="31">IF(M34=1,Q34,IF(J34=3,IF(K34=3,C34,Q34),Q34))</f>
        <v>0</v>
      </c>
      <c r="R35">
        <f t="shared" ref="R35:R66" si="32">IF(M34=1,R34,IF(J34=3,IF(K34=4,C34,R34),R34))</f>
        <v>0</v>
      </c>
      <c r="S35">
        <f t="shared" ref="S35:S66" si="33">IF(M34=1,S34,IF(J34=3,IF(K34=5,C34,S34),S34))</f>
        <v>0</v>
      </c>
      <c r="T35">
        <f t="shared" ref="T35:T66" si="34">IF(M34=1,T34,IF(J34=3,IF(K34=6,C34,T34),T34))</f>
        <v>0</v>
      </c>
      <c r="U35">
        <f t="shared" ref="U35:U66" si="35">IF(M34=1,U34,IF(J34=3,IF(K34=7,C34,U34),U34))</f>
        <v>5</v>
      </c>
      <c r="V35">
        <f t="shared" ref="V35:V66" si="36">IF(M34=1,V34,IF(J34=3,IF(K34=8,C34,V34),V34))</f>
        <v>0</v>
      </c>
      <c r="W35">
        <f t="shared" ref="W35:W66" si="37">IF(M34=1,W34,IF(J34=3,IF(K34=9,C34,W34),W34))</f>
        <v>0</v>
      </c>
      <c r="X35">
        <f t="shared" ref="X35:X66" si="38">IF(M34=1,X34,IF(J34=3,IF(K34=10,C34,X34),X34))</f>
        <v>3</v>
      </c>
      <c r="Y35">
        <f t="shared" ref="Y35:Y66" si="39">IF(M34=1,Y34,IF(J34=3,IF(K34=11,C34,Y34),Y34))</f>
        <v>0</v>
      </c>
      <c r="Z35">
        <f t="shared" ref="Z35:Z66" si="40">IF(M34=1,Z34,IF(J34=3,IF(K34=12,C34,Z34),Z34))</f>
        <v>0</v>
      </c>
      <c r="AA35">
        <f t="shared" ref="AA35:AA66" si="41">IF(M34=1,AA34,IF(J34=3,IF(K34=13,C34,AA34),AA34))</f>
        <v>0</v>
      </c>
      <c r="AB35">
        <f t="shared" ref="AB35:AB66" si="42">IF(M34=1,AB34,IF(J34=3,IF(K34=14,C34,AB34),AB34))</f>
        <v>0</v>
      </c>
      <c r="AC35">
        <f t="shared" ref="AC35:AC66" si="43">IF(M34=1,AC34,IF(J34=3,IF(K34=15,C34,AC34),AC34))</f>
        <v>0</v>
      </c>
    </row>
    <row r="36" spans="1:29" x14ac:dyDescent="0.2">
      <c r="A36">
        <f t="shared" si="22"/>
        <v>34</v>
      </c>
      <c r="B36">
        <f t="shared" si="23"/>
        <v>4</v>
      </c>
      <c r="C36" cm="1">
        <f t="array" ref="C36">IF(M35=1,C35,IF(J35=15,C35,IF(J35=1,IF(K35=0,L35,C35),IF(J35=2,IF(K35=0,INDEX(N35:AC35,1,L35+1),C35),IF(J35=4,IF(K35=0,CHOOSE(L35+1,C35,D35,E35,F35),C35),IF(J35=5,IF(K35=0,MOD(C35+L35,256),C35),IF(J35=6,IF(K35=0,MOD(C35+CHOOSE(L35+1,C35,D35,E35,F35),256),C35),IF(J35=7,IF(K35=0,MOD(C35-L35,256),C35),IF(J35=8,IF(K35=0,MOD(C35-CHOOSE(L35+1,C35,D35,E35,F35),256),C35),IF(J35=12,IF(K35=0,MOD(C35*(IF(L35&gt;=128,CHOOSE(L35-128+1,C35,D35,E35,F35),L35)),256),C35),IF(J35=14,IF(K35=0,_xlfn.BITAND(C35,(IF(L35&gt;=128,CHOOSE(L35-128+1,C35,D35,E35,F35),L35))),C35),IF(J35=16,IF(K35=0,_xlfn.BITOR(C35,(IF(L35&gt;=128,CHOOSE(L35-128+1,C35,D35,E35,F35),L35))),C35),IF(J35=17,IF(K35=0,_xlfn.BITXOR(C35,(IF(L35&gt;=128,CHOOSE(L35-128+1,C35,D35,E35,F35),L35))),C35),IF(J35=18,IF(0=1,QUOTIENT(C35,(IF(L35&gt;=128,CHOOSE(L35-128+1,C35,D35,E35,F35),L35))),IF(0=3,MOD(C35,(IF(L35&gt;=128,CHOOSE(L35-128+1,C35,D35,E35,F35),L35))),C35)),IF(J35=13,C35,C35)))))))))))))))</f>
        <v>10</v>
      </c>
      <c r="D36" cm="1">
        <f t="array" ref="D36">IF(M35=1,D35,IF(J35=15,D35,IF(J35=1,IF(K35=1,L35,D35),IF(J35=2,IF(K35=1,INDEX(N35:AC35,1,L35+1),D35),IF(J35=4,IF(K35=1,CHOOSE(L35+1,C35,D35,E35,F35),D35),IF(J35=5,IF(K35=1,MOD(D35+L35,256),D35),IF(J35=6,IF(K35=1,MOD(D35+CHOOSE(L35+1,C35,D35,E35,F35),256),D35),IF(J35=7,IF(K35=1,MOD(D35-L35,256),D35),IF(J35=8,IF(K35=1,MOD(D35-CHOOSE(L35+1,C35,D35,E35,F35),256),D35),IF(J35=12,IF(K35=1,MOD(D35*(IF(L35&gt;=128,CHOOSE(L35-128+1,C35,D35,E35,F35),L35)),256),D35),IF(J35=14,IF(K35=1,_xlfn.BITAND(D35,(IF(L35&gt;=128,CHOOSE(L35-128+1,C35,D35,E35,F35),L35))),D35),IF(J35=16,IF(K35=1,_xlfn.BITOR(D35,(IF(L35&gt;=128,CHOOSE(L35-128+1,C35,D35,E35,F35),L35))),D35),IF(J35=17,IF(K35=1,_xlfn.BITXOR(D35,(IF(L35&gt;=128,CHOOSE(L35-128+1,C35,D35,E35,F35),L35))),D35),IF(J35=18,IF(1=1,QUOTIENT(C35,(IF(L35&gt;=128,CHOOSE(L35-128+1,C35,D35,E35,F35),L35))),IF(1=3,MOD(C35,(IF(L35&gt;=128,CHOOSE(L35-128+1,C35,D35,E35,F35),L35))),D35)),IF(J35=13,D35,D35)))))))))))))))</f>
        <v>5</v>
      </c>
      <c r="E36" cm="1">
        <f t="array" ref="E36">IF(M35=1,E35,IF(J35=15,E35,IF(J35=1,IF(K35=2,L35,E35),IF(J35=2,IF(K35=2,INDEX(N35:AC35,1,L35+1),E35),IF(J35=4,IF(K35=2,CHOOSE(L35+1,C35,D35,E35,F35),E35),IF(J35=5,IF(K35=2,MOD(E35+L35,256),E35),IF(J35=6,IF(K35=2,MOD(E35+CHOOSE(L35+1,C35,D35,E35,F35),256),E35),IF(J35=7,IF(K35=2,MOD(E35-L35,256),E35),IF(J35=8,IF(K35=2,MOD(E35-CHOOSE(L35+1,C35,D35,E35,F35),256),E35),IF(J35=12,IF(K35=2,MOD(E35*(IF(L35&gt;=128,CHOOSE(L35-128+1,C35,D35,E35,F35),L35)),256),E35),IF(J35=14,IF(K35=2,_xlfn.BITAND(E35,(IF(L35&gt;=128,CHOOSE(L35-128+1,C35,D35,E35,F35),L35))),E35),IF(J35=16,IF(K35=2,_xlfn.BITOR(E35,(IF(L35&gt;=128,CHOOSE(L35-128+1,C35,D35,E35,F35),L35))),E35),IF(J35=17,IF(K35=2,_xlfn.BITXOR(E35,(IF(L35&gt;=128,CHOOSE(L35-128+1,C35,D35,E35,F35),L35))),E35),IF(J35=18,IF(2=1,QUOTIENT(C35,(IF(L35&gt;=128,CHOOSE(L35-128+1,C35,D35,E35,F35),L35))),IF(2=3,MOD(C35,(IF(L35&gt;=128,CHOOSE(L35-128+1,C35,D35,E35,F35),L35))),E35)),IF(J35=13,MOD(E35-1,256),E35)))))))))))))))</f>
        <v>0</v>
      </c>
      <c r="F36" cm="1">
        <f t="array" ref="F36">IF(M35=1,F35,IF(J35=15,F35,IF(J35=1,IF(K35=3,L35,F35),IF(J35=2,IF(K35=3,INDEX(N35:AC35,1,L35+1),F35),IF(J35=4,IF(K35=3,CHOOSE(L35+1,C35,D35,E35,F35),F35),IF(J35=5,IF(K35=3,MOD(F35+L35,256),F35),IF(J35=6,IF(K35=3,MOD(F35+CHOOSE(L35+1,C35,D35,E35,F35),256),F35),IF(J35=7,IF(K35=3,MOD(F35-L35,256),F35),IF(J35=8,IF(K35=3,MOD(F35-CHOOSE(L35+1,C35,D35,E35,F35),256),F35),IF(J35=12,IF(K35=3,MOD(F35*(IF(L35&gt;=128,CHOOSE(L35-128+1,C35,D35,E35,F35),L35)),256),F35),IF(J35=14,IF(K35=3,_xlfn.BITAND(F35,(IF(L35&gt;=128,CHOOSE(L35-128+1,C35,D35,E35,F35),L35))),F35),IF(J35=16,IF(K35=3,_xlfn.BITOR(F35,(IF(L35&gt;=128,CHOOSE(L35-128+1,C35,D35,E35,F35),L35))),F35),IF(J35=17,IF(K35=3,_xlfn.BITXOR(F35,(IF(L35&gt;=128,CHOOSE(L35-128+1,C35,D35,E35,F35),L35))),F35),IF(J35=18,IF(3=1,QUOTIENT(C35,(IF(L35&gt;=128,CHOOSE(L35-128+1,C35,D35,E35,F35),L35))),IF(3=3,MOD(C35,(IF(L35&gt;=128,CHOOSE(L35-128+1,C35,D35,E35,F35),L35))),F35)),IF(J35=13,F35,F35)))))))))))))))</f>
        <v>0</v>
      </c>
      <c r="G36">
        <f t="shared" si="24"/>
        <v>0</v>
      </c>
      <c r="H36">
        <f t="shared" si="25"/>
        <v>0</v>
      </c>
      <c r="I36">
        <f t="shared" si="26"/>
        <v>0</v>
      </c>
      <c r="J36" cm="1">
        <f t="array" ref="J36">INDEX(PROGRAM!$E$2:$E$257, B36+1)</f>
        <v>15</v>
      </c>
      <c r="K36" cm="1">
        <f t="array" ref="K36">INDEX(PROGRAM!$F$2:$F$257, B36+1)</f>
        <v>0</v>
      </c>
      <c r="L36" cm="1">
        <f t="array" ref="L36">INDEX(PROGRAM!$G$2:$G$257, B36+1)</f>
        <v>0</v>
      </c>
      <c r="M36">
        <f t="shared" si="27"/>
        <v>1</v>
      </c>
      <c r="N36">
        <f t="shared" si="28"/>
        <v>0</v>
      </c>
      <c r="O36">
        <f t="shared" si="29"/>
        <v>10</v>
      </c>
      <c r="P36">
        <f t="shared" si="30"/>
        <v>15</v>
      </c>
      <c r="Q36">
        <f t="shared" si="31"/>
        <v>0</v>
      </c>
      <c r="R36">
        <f t="shared" si="32"/>
        <v>0</v>
      </c>
      <c r="S36">
        <f t="shared" si="33"/>
        <v>0</v>
      </c>
      <c r="T36">
        <f t="shared" si="34"/>
        <v>0</v>
      </c>
      <c r="U36">
        <f t="shared" si="35"/>
        <v>5</v>
      </c>
      <c r="V36">
        <f t="shared" si="36"/>
        <v>0</v>
      </c>
      <c r="W36">
        <f t="shared" si="37"/>
        <v>0</v>
      </c>
      <c r="X36">
        <f t="shared" si="38"/>
        <v>3</v>
      </c>
      <c r="Y36">
        <f t="shared" si="39"/>
        <v>0</v>
      </c>
      <c r="Z36">
        <f t="shared" si="40"/>
        <v>0</v>
      </c>
      <c r="AA36">
        <f t="shared" si="41"/>
        <v>0</v>
      </c>
      <c r="AB36">
        <f t="shared" si="42"/>
        <v>0</v>
      </c>
      <c r="AC36">
        <f t="shared" si="43"/>
        <v>0</v>
      </c>
    </row>
    <row r="37" spans="1:29" x14ac:dyDescent="0.2">
      <c r="A37">
        <f t="shared" si="22"/>
        <v>35</v>
      </c>
      <c r="B37">
        <f t="shared" si="23"/>
        <v>4</v>
      </c>
      <c r="C37" cm="1">
        <f t="array" ref="C37">IF(M36=1,C36,IF(J36=15,C36,IF(J36=1,IF(K36=0,L36,C36),IF(J36=2,IF(K36=0,INDEX(N36:AC36,1,L36+1),C36),IF(J36=4,IF(K36=0,CHOOSE(L36+1,C36,D36,E36,F36),C36),IF(J36=5,IF(K36=0,MOD(C36+L36,256),C36),IF(J36=6,IF(K36=0,MOD(C36+CHOOSE(L36+1,C36,D36,E36,F36),256),C36),IF(J36=7,IF(K36=0,MOD(C36-L36,256),C36),IF(J36=8,IF(K36=0,MOD(C36-CHOOSE(L36+1,C36,D36,E36,F36),256),C36),IF(J36=12,IF(K36=0,MOD(C36*(IF(L36&gt;=128,CHOOSE(L36-128+1,C36,D36,E36,F36),L36)),256),C36),IF(J36=14,IF(K36=0,_xlfn.BITAND(C36,(IF(L36&gt;=128,CHOOSE(L36-128+1,C36,D36,E36,F36),L36))),C36),IF(J36=16,IF(K36=0,_xlfn.BITOR(C36,(IF(L36&gt;=128,CHOOSE(L36-128+1,C36,D36,E36,F36),L36))),C36),IF(J36=17,IF(K36=0,_xlfn.BITXOR(C36,(IF(L36&gt;=128,CHOOSE(L36-128+1,C36,D36,E36,F36),L36))),C36),IF(J36=18,IF(0=1,QUOTIENT(C36,(IF(L36&gt;=128,CHOOSE(L36-128+1,C36,D36,E36,F36),L36))),IF(0=3,MOD(C36,(IF(L36&gt;=128,CHOOSE(L36-128+1,C36,D36,E36,F36),L36))),C36)),IF(J36=13,C36,C36)))))))))))))))</f>
        <v>10</v>
      </c>
      <c r="D37" cm="1">
        <f t="array" ref="D37">IF(M36=1,D36,IF(J36=15,D36,IF(J36=1,IF(K36=1,L36,D36),IF(J36=2,IF(K36=1,INDEX(N36:AC36,1,L36+1),D36),IF(J36=4,IF(K36=1,CHOOSE(L36+1,C36,D36,E36,F36),D36),IF(J36=5,IF(K36=1,MOD(D36+L36,256),D36),IF(J36=6,IF(K36=1,MOD(D36+CHOOSE(L36+1,C36,D36,E36,F36),256),D36),IF(J36=7,IF(K36=1,MOD(D36-L36,256),D36),IF(J36=8,IF(K36=1,MOD(D36-CHOOSE(L36+1,C36,D36,E36,F36),256),D36),IF(J36=12,IF(K36=1,MOD(D36*(IF(L36&gt;=128,CHOOSE(L36-128+1,C36,D36,E36,F36),L36)),256),D36),IF(J36=14,IF(K36=1,_xlfn.BITAND(D36,(IF(L36&gt;=128,CHOOSE(L36-128+1,C36,D36,E36,F36),L36))),D36),IF(J36=16,IF(K36=1,_xlfn.BITOR(D36,(IF(L36&gt;=128,CHOOSE(L36-128+1,C36,D36,E36,F36),L36))),D36),IF(J36=17,IF(K36=1,_xlfn.BITXOR(D36,(IF(L36&gt;=128,CHOOSE(L36-128+1,C36,D36,E36,F36),L36))),D36),IF(J36=18,IF(1=1,QUOTIENT(C36,(IF(L36&gt;=128,CHOOSE(L36-128+1,C36,D36,E36,F36),L36))),IF(1=3,MOD(C36,(IF(L36&gt;=128,CHOOSE(L36-128+1,C36,D36,E36,F36),L36))),D36)),IF(J36=13,D36,D36)))))))))))))))</f>
        <v>5</v>
      </c>
      <c r="E37" cm="1">
        <f t="array" ref="E37">IF(M36=1,E36,IF(J36=15,E36,IF(J36=1,IF(K36=2,L36,E36),IF(J36=2,IF(K36=2,INDEX(N36:AC36,1,L36+1),E36),IF(J36=4,IF(K36=2,CHOOSE(L36+1,C36,D36,E36,F36),E36),IF(J36=5,IF(K36=2,MOD(E36+L36,256),E36),IF(J36=6,IF(K36=2,MOD(E36+CHOOSE(L36+1,C36,D36,E36,F36),256),E36),IF(J36=7,IF(K36=2,MOD(E36-L36,256),E36),IF(J36=8,IF(K36=2,MOD(E36-CHOOSE(L36+1,C36,D36,E36,F36),256),E36),IF(J36=12,IF(K36=2,MOD(E36*(IF(L36&gt;=128,CHOOSE(L36-128+1,C36,D36,E36,F36),L36)),256),E36),IF(J36=14,IF(K36=2,_xlfn.BITAND(E36,(IF(L36&gt;=128,CHOOSE(L36-128+1,C36,D36,E36,F36),L36))),E36),IF(J36=16,IF(K36=2,_xlfn.BITOR(E36,(IF(L36&gt;=128,CHOOSE(L36-128+1,C36,D36,E36,F36),L36))),E36),IF(J36=17,IF(K36=2,_xlfn.BITXOR(E36,(IF(L36&gt;=128,CHOOSE(L36-128+1,C36,D36,E36,F36),L36))),E36),IF(J36=18,IF(2=1,QUOTIENT(C36,(IF(L36&gt;=128,CHOOSE(L36-128+1,C36,D36,E36,F36),L36))),IF(2=3,MOD(C36,(IF(L36&gt;=128,CHOOSE(L36-128+1,C36,D36,E36,F36),L36))),E36)),IF(J36=13,MOD(E36-1,256),E36)))))))))))))))</f>
        <v>0</v>
      </c>
      <c r="F37" cm="1">
        <f t="array" ref="F37">IF(M36=1,F36,IF(J36=15,F36,IF(J36=1,IF(K36=3,L36,F36),IF(J36=2,IF(K36=3,INDEX(N36:AC36,1,L36+1),F36),IF(J36=4,IF(K36=3,CHOOSE(L36+1,C36,D36,E36,F36),F36),IF(J36=5,IF(K36=3,MOD(F36+L36,256),F36),IF(J36=6,IF(K36=3,MOD(F36+CHOOSE(L36+1,C36,D36,E36,F36),256),F36),IF(J36=7,IF(K36=3,MOD(F36-L36,256),F36),IF(J36=8,IF(K36=3,MOD(F36-CHOOSE(L36+1,C36,D36,E36,F36),256),F36),IF(J36=12,IF(K36=3,MOD(F36*(IF(L36&gt;=128,CHOOSE(L36-128+1,C36,D36,E36,F36),L36)),256),F36),IF(J36=14,IF(K36=3,_xlfn.BITAND(F36,(IF(L36&gt;=128,CHOOSE(L36-128+1,C36,D36,E36,F36),L36))),F36),IF(J36=16,IF(K36=3,_xlfn.BITOR(F36,(IF(L36&gt;=128,CHOOSE(L36-128+1,C36,D36,E36,F36),L36))),F36),IF(J36=17,IF(K36=3,_xlfn.BITXOR(F36,(IF(L36&gt;=128,CHOOSE(L36-128+1,C36,D36,E36,F36),L36))),F36),IF(J36=18,IF(3=1,QUOTIENT(C36,(IF(L36&gt;=128,CHOOSE(L36-128+1,C36,D36,E36,F36),L36))),IF(3=3,MOD(C36,(IF(L36&gt;=128,CHOOSE(L36-128+1,C36,D36,E36,F36),L36))),F36)),IF(J36=13,F36,F36)))))))))))))))</f>
        <v>0</v>
      </c>
      <c r="G37">
        <f t="shared" si="24"/>
        <v>0</v>
      </c>
      <c r="H37">
        <f t="shared" si="25"/>
        <v>0</v>
      </c>
      <c r="I37">
        <f t="shared" si="26"/>
        <v>0</v>
      </c>
      <c r="J37" cm="1">
        <f t="array" ref="J37">INDEX(PROGRAM!$E$2:$E$257, B37+1)</f>
        <v>15</v>
      </c>
      <c r="K37" cm="1">
        <f t="array" ref="K37">INDEX(PROGRAM!$F$2:$F$257, B37+1)</f>
        <v>0</v>
      </c>
      <c r="L37" cm="1">
        <f t="array" ref="L37">INDEX(PROGRAM!$G$2:$G$257, B37+1)</f>
        <v>0</v>
      </c>
      <c r="M37">
        <f t="shared" si="27"/>
        <v>1</v>
      </c>
      <c r="N37">
        <f t="shared" si="28"/>
        <v>0</v>
      </c>
      <c r="O37">
        <f t="shared" si="29"/>
        <v>10</v>
      </c>
      <c r="P37">
        <f t="shared" si="30"/>
        <v>15</v>
      </c>
      <c r="Q37">
        <f t="shared" si="31"/>
        <v>0</v>
      </c>
      <c r="R37">
        <f t="shared" si="32"/>
        <v>0</v>
      </c>
      <c r="S37">
        <f t="shared" si="33"/>
        <v>0</v>
      </c>
      <c r="T37">
        <f t="shared" si="34"/>
        <v>0</v>
      </c>
      <c r="U37">
        <f t="shared" si="35"/>
        <v>5</v>
      </c>
      <c r="V37">
        <f t="shared" si="36"/>
        <v>0</v>
      </c>
      <c r="W37">
        <f t="shared" si="37"/>
        <v>0</v>
      </c>
      <c r="X37">
        <f t="shared" si="38"/>
        <v>3</v>
      </c>
      <c r="Y37">
        <f t="shared" si="39"/>
        <v>0</v>
      </c>
      <c r="Z37">
        <f t="shared" si="40"/>
        <v>0</v>
      </c>
      <c r="AA37">
        <f t="shared" si="41"/>
        <v>0</v>
      </c>
      <c r="AB37">
        <f t="shared" si="42"/>
        <v>0</v>
      </c>
      <c r="AC37">
        <f t="shared" si="43"/>
        <v>0</v>
      </c>
    </row>
    <row r="38" spans="1:29" x14ac:dyDescent="0.2">
      <c r="A38">
        <f t="shared" si="22"/>
        <v>36</v>
      </c>
      <c r="B38">
        <f t="shared" si="23"/>
        <v>4</v>
      </c>
      <c r="C38" cm="1">
        <f t="array" ref="C38">IF(M37=1,C37,IF(J37=15,C37,IF(J37=1,IF(K37=0,L37,C37),IF(J37=2,IF(K37=0,INDEX(N37:AC37,1,L37+1),C37),IF(J37=4,IF(K37=0,CHOOSE(L37+1,C37,D37,E37,F37),C37),IF(J37=5,IF(K37=0,MOD(C37+L37,256),C37),IF(J37=6,IF(K37=0,MOD(C37+CHOOSE(L37+1,C37,D37,E37,F37),256),C37),IF(J37=7,IF(K37=0,MOD(C37-L37,256),C37),IF(J37=8,IF(K37=0,MOD(C37-CHOOSE(L37+1,C37,D37,E37,F37),256),C37),IF(J37=12,IF(K37=0,MOD(C37*(IF(L37&gt;=128,CHOOSE(L37-128+1,C37,D37,E37,F37),L37)),256),C37),IF(J37=14,IF(K37=0,_xlfn.BITAND(C37,(IF(L37&gt;=128,CHOOSE(L37-128+1,C37,D37,E37,F37),L37))),C37),IF(J37=16,IF(K37=0,_xlfn.BITOR(C37,(IF(L37&gt;=128,CHOOSE(L37-128+1,C37,D37,E37,F37),L37))),C37),IF(J37=17,IF(K37=0,_xlfn.BITXOR(C37,(IF(L37&gt;=128,CHOOSE(L37-128+1,C37,D37,E37,F37),L37))),C37),IF(J37=18,IF(0=1,QUOTIENT(C37,(IF(L37&gt;=128,CHOOSE(L37-128+1,C37,D37,E37,F37),L37))),IF(0=3,MOD(C37,(IF(L37&gt;=128,CHOOSE(L37-128+1,C37,D37,E37,F37),L37))),C37)),IF(J37=13,C37,C37)))))))))))))))</f>
        <v>10</v>
      </c>
      <c r="D38" cm="1">
        <f t="array" ref="D38">IF(M37=1,D37,IF(J37=15,D37,IF(J37=1,IF(K37=1,L37,D37),IF(J37=2,IF(K37=1,INDEX(N37:AC37,1,L37+1),D37),IF(J37=4,IF(K37=1,CHOOSE(L37+1,C37,D37,E37,F37),D37),IF(J37=5,IF(K37=1,MOD(D37+L37,256),D37),IF(J37=6,IF(K37=1,MOD(D37+CHOOSE(L37+1,C37,D37,E37,F37),256),D37),IF(J37=7,IF(K37=1,MOD(D37-L37,256),D37),IF(J37=8,IF(K37=1,MOD(D37-CHOOSE(L37+1,C37,D37,E37,F37),256),D37),IF(J37=12,IF(K37=1,MOD(D37*(IF(L37&gt;=128,CHOOSE(L37-128+1,C37,D37,E37,F37),L37)),256),D37),IF(J37=14,IF(K37=1,_xlfn.BITAND(D37,(IF(L37&gt;=128,CHOOSE(L37-128+1,C37,D37,E37,F37),L37))),D37),IF(J37=16,IF(K37=1,_xlfn.BITOR(D37,(IF(L37&gt;=128,CHOOSE(L37-128+1,C37,D37,E37,F37),L37))),D37),IF(J37=17,IF(K37=1,_xlfn.BITXOR(D37,(IF(L37&gt;=128,CHOOSE(L37-128+1,C37,D37,E37,F37),L37))),D37),IF(J37=18,IF(1=1,QUOTIENT(C37,(IF(L37&gt;=128,CHOOSE(L37-128+1,C37,D37,E37,F37),L37))),IF(1=3,MOD(C37,(IF(L37&gt;=128,CHOOSE(L37-128+1,C37,D37,E37,F37),L37))),D37)),IF(J37=13,D37,D37)))))))))))))))</f>
        <v>5</v>
      </c>
      <c r="E38" cm="1">
        <f t="array" ref="E38">IF(M37=1,E37,IF(J37=15,E37,IF(J37=1,IF(K37=2,L37,E37),IF(J37=2,IF(K37=2,INDEX(N37:AC37,1,L37+1),E37),IF(J37=4,IF(K37=2,CHOOSE(L37+1,C37,D37,E37,F37),E37),IF(J37=5,IF(K37=2,MOD(E37+L37,256),E37),IF(J37=6,IF(K37=2,MOD(E37+CHOOSE(L37+1,C37,D37,E37,F37),256),E37),IF(J37=7,IF(K37=2,MOD(E37-L37,256),E37),IF(J37=8,IF(K37=2,MOD(E37-CHOOSE(L37+1,C37,D37,E37,F37),256),E37),IF(J37=12,IF(K37=2,MOD(E37*(IF(L37&gt;=128,CHOOSE(L37-128+1,C37,D37,E37,F37),L37)),256),E37),IF(J37=14,IF(K37=2,_xlfn.BITAND(E37,(IF(L37&gt;=128,CHOOSE(L37-128+1,C37,D37,E37,F37),L37))),E37),IF(J37=16,IF(K37=2,_xlfn.BITOR(E37,(IF(L37&gt;=128,CHOOSE(L37-128+1,C37,D37,E37,F37),L37))),E37),IF(J37=17,IF(K37=2,_xlfn.BITXOR(E37,(IF(L37&gt;=128,CHOOSE(L37-128+1,C37,D37,E37,F37),L37))),E37),IF(J37=18,IF(2=1,QUOTIENT(C37,(IF(L37&gt;=128,CHOOSE(L37-128+1,C37,D37,E37,F37),L37))),IF(2=3,MOD(C37,(IF(L37&gt;=128,CHOOSE(L37-128+1,C37,D37,E37,F37),L37))),E37)),IF(J37=13,MOD(E37-1,256),E37)))))))))))))))</f>
        <v>0</v>
      </c>
      <c r="F38" cm="1">
        <f t="array" ref="F38">IF(M37=1,F37,IF(J37=15,F37,IF(J37=1,IF(K37=3,L37,F37),IF(J37=2,IF(K37=3,INDEX(N37:AC37,1,L37+1),F37),IF(J37=4,IF(K37=3,CHOOSE(L37+1,C37,D37,E37,F37),F37),IF(J37=5,IF(K37=3,MOD(F37+L37,256),F37),IF(J37=6,IF(K37=3,MOD(F37+CHOOSE(L37+1,C37,D37,E37,F37),256),F37),IF(J37=7,IF(K37=3,MOD(F37-L37,256),F37),IF(J37=8,IF(K37=3,MOD(F37-CHOOSE(L37+1,C37,D37,E37,F37),256),F37),IF(J37=12,IF(K37=3,MOD(F37*(IF(L37&gt;=128,CHOOSE(L37-128+1,C37,D37,E37,F37),L37)),256),F37),IF(J37=14,IF(K37=3,_xlfn.BITAND(F37,(IF(L37&gt;=128,CHOOSE(L37-128+1,C37,D37,E37,F37),L37))),F37),IF(J37=16,IF(K37=3,_xlfn.BITOR(F37,(IF(L37&gt;=128,CHOOSE(L37-128+1,C37,D37,E37,F37),L37))),F37),IF(J37=17,IF(K37=3,_xlfn.BITXOR(F37,(IF(L37&gt;=128,CHOOSE(L37-128+1,C37,D37,E37,F37),L37))),F37),IF(J37=18,IF(3=1,QUOTIENT(C37,(IF(L37&gt;=128,CHOOSE(L37-128+1,C37,D37,E37,F37),L37))),IF(3=3,MOD(C37,(IF(L37&gt;=128,CHOOSE(L37-128+1,C37,D37,E37,F37),L37))),F37)),IF(J37=13,F37,F37)))))))))))))))</f>
        <v>0</v>
      </c>
      <c r="G38">
        <f t="shared" si="24"/>
        <v>0</v>
      </c>
      <c r="H38">
        <f t="shared" si="25"/>
        <v>0</v>
      </c>
      <c r="I38">
        <f t="shared" si="26"/>
        <v>0</v>
      </c>
      <c r="J38" cm="1">
        <f t="array" ref="J38">INDEX(PROGRAM!$E$2:$E$257, B38+1)</f>
        <v>15</v>
      </c>
      <c r="K38" cm="1">
        <f t="array" ref="K38">INDEX(PROGRAM!$F$2:$F$257, B38+1)</f>
        <v>0</v>
      </c>
      <c r="L38" cm="1">
        <f t="array" ref="L38">INDEX(PROGRAM!$G$2:$G$257, B38+1)</f>
        <v>0</v>
      </c>
      <c r="M38">
        <f t="shared" si="27"/>
        <v>1</v>
      </c>
      <c r="N38">
        <f t="shared" si="28"/>
        <v>0</v>
      </c>
      <c r="O38">
        <f t="shared" si="29"/>
        <v>10</v>
      </c>
      <c r="P38">
        <f t="shared" si="30"/>
        <v>15</v>
      </c>
      <c r="Q38">
        <f t="shared" si="31"/>
        <v>0</v>
      </c>
      <c r="R38">
        <f t="shared" si="32"/>
        <v>0</v>
      </c>
      <c r="S38">
        <f t="shared" si="33"/>
        <v>0</v>
      </c>
      <c r="T38">
        <f t="shared" si="34"/>
        <v>0</v>
      </c>
      <c r="U38">
        <f t="shared" si="35"/>
        <v>5</v>
      </c>
      <c r="V38">
        <f t="shared" si="36"/>
        <v>0</v>
      </c>
      <c r="W38">
        <f t="shared" si="37"/>
        <v>0</v>
      </c>
      <c r="X38">
        <f t="shared" si="38"/>
        <v>3</v>
      </c>
      <c r="Y38">
        <f t="shared" si="39"/>
        <v>0</v>
      </c>
      <c r="Z38">
        <f t="shared" si="40"/>
        <v>0</v>
      </c>
      <c r="AA38">
        <f t="shared" si="41"/>
        <v>0</v>
      </c>
      <c r="AB38">
        <f t="shared" si="42"/>
        <v>0</v>
      </c>
      <c r="AC38">
        <f t="shared" si="43"/>
        <v>0</v>
      </c>
    </row>
    <row r="39" spans="1:29" x14ac:dyDescent="0.2">
      <c r="A39">
        <f t="shared" si="22"/>
        <v>37</v>
      </c>
      <c r="B39">
        <f t="shared" si="23"/>
        <v>4</v>
      </c>
      <c r="C39" cm="1">
        <f t="array" ref="C39">IF(M38=1,C38,IF(J38=15,C38,IF(J38=1,IF(K38=0,L38,C38),IF(J38=2,IF(K38=0,INDEX(N38:AC38,1,L38+1),C38),IF(J38=4,IF(K38=0,CHOOSE(L38+1,C38,D38,E38,F38),C38),IF(J38=5,IF(K38=0,MOD(C38+L38,256),C38),IF(J38=6,IF(K38=0,MOD(C38+CHOOSE(L38+1,C38,D38,E38,F38),256),C38),IF(J38=7,IF(K38=0,MOD(C38-L38,256),C38),IF(J38=8,IF(K38=0,MOD(C38-CHOOSE(L38+1,C38,D38,E38,F38),256),C38),IF(J38=12,IF(K38=0,MOD(C38*(IF(L38&gt;=128,CHOOSE(L38-128+1,C38,D38,E38,F38),L38)),256),C38),IF(J38=14,IF(K38=0,_xlfn.BITAND(C38,(IF(L38&gt;=128,CHOOSE(L38-128+1,C38,D38,E38,F38),L38))),C38),IF(J38=16,IF(K38=0,_xlfn.BITOR(C38,(IF(L38&gt;=128,CHOOSE(L38-128+1,C38,D38,E38,F38),L38))),C38),IF(J38=17,IF(K38=0,_xlfn.BITXOR(C38,(IF(L38&gt;=128,CHOOSE(L38-128+1,C38,D38,E38,F38),L38))),C38),IF(J38=18,IF(0=1,QUOTIENT(C38,(IF(L38&gt;=128,CHOOSE(L38-128+1,C38,D38,E38,F38),L38))),IF(0=3,MOD(C38,(IF(L38&gt;=128,CHOOSE(L38-128+1,C38,D38,E38,F38),L38))),C38)),IF(J38=13,C38,C38)))))))))))))))</f>
        <v>10</v>
      </c>
      <c r="D39" cm="1">
        <f t="array" ref="D39">IF(M38=1,D38,IF(J38=15,D38,IF(J38=1,IF(K38=1,L38,D38),IF(J38=2,IF(K38=1,INDEX(N38:AC38,1,L38+1),D38),IF(J38=4,IF(K38=1,CHOOSE(L38+1,C38,D38,E38,F38),D38),IF(J38=5,IF(K38=1,MOD(D38+L38,256),D38),IF(J38=6,IF(K38=1,MOD(D38+CHOOSE(L38+1,C38,D38,E38,F38),256),D38),IF(J38=7,IF(K38=1,MOD(D38-L38,256),D38),IF(J38=8,IF(K38=1,MOD(D38-CHOOSE(L38+1,C38,D38,E38,F38),256),D38),IF(J38=12,IF(K38=1,MOD(D38*(IF(L38&gt;=128,CHOOSE(L38-128+1,C38,D38,E38,F38),L38)),256),D38),IF(J38=14,IF(K38=1,_xlfn.BITAND(D38,(IF(L38&gt;=128,CHOOSE(L38-128+1,C38,D38,E38,F38),L38))),D38),IF(J38=16,IF(K38=1,_xlfn.BITOR(D38,(IF(L38&gt;=128,CHOOSE(L38-128+1,C38,D38,E38,F38),L38))),D38),IF(J38=17,IF(K38=1,_xlfn.BITXOR(D38,(IF(L38&gt;=128,CHOOSE(L38-128+1,C38,D38,E38,F38),L38))),D38),IF(J38=18,IF(1=1,QUOTIENT(C38,(IF(L38&gt;=128,CHOOSE(L38-128+1,C38,D38,E38,F38),L38))),IF(1=3,MOD(C38,(IF(L38&gt;=128,CHOOSE(L38-128+1,C38,D38,E38,F38),L38))),D38)),IF(J38=13,D38,D38)))))))))))))))</f>
        <v>5</v>
      </c>
      <c r="E39" cm="1">
        <f t="array" ref="E39">IF(M38=1,E38,IF(J38=15,E38,IF(J38=1,IF(K38=2,L38,E38),IF(J38=2,IF(K38=2,INDEX(N38:AC38,1,L38+1),E38),IF(J38=4,IF(K38=2,CHOOSE(L38+1,C38,D38,E38,F38),E38),IF(J38=5,IF(K38=2,MOD(E38+L38,256),E38),IF(J38=6,IF(K38=2,MOD(E38+CHOOSE(L38+1,C38,D38,E38,F38),256),E38),IF(J38=7,IF(K38=2,MOD(E38-L38,256),E38),IF(J38=8,IF(K38=2,MOD(E38-CHOOSE(L38+1,C38,D38,E38,F38),256),E38),IF(J38=12,IF(K38=2,MOD(E38*(IF(L38&gt;=128,CHOOSE(L38-128+1,C38,D38,E38,F38),L38)),256),E38),IF(J38=14,IF(K38=2,_xlfn.BITAND(E38,(IF(L38&gt;=128,CHOOSE(L38-128+1,C38,D38,E38,F38),L38))),E38),IF(J38=16,IF(K38=2,_xlfn.BITOR(E38,(IF(L38&gt;=128,CHOOSE(L38-128+1,C38,D38,E38,F38),L38))),E38),IF(J38=17,IF(K38=2,_xlfn.BITXOR(E38,(IF(L38&gt;=128,CHOOSE(L38-128+1,C38,D38,E38,F38),L38))),E38),IF(J38=18,IF(2=1,QUOTIENT(C38,(IF(L38&gt;=128,CHOOSE(L38-128+1,C38,D38,E38,F38),L38))),IF(2=3,MOD(C38,(IF(L38&gt;=128,CHOOSE(L38-128+1,C38,D38,E38,F38),L38))),E38)),IF(J38=13,MOD(E38-1,256),E38)))))))))))))))</f>
        <v>0</v>
      </c>
      <c r="F39" cm="1">
        <f t="array" ref="F39">IF(M38=1,F38,IF(J38=15,F38,IF(J38=1,IF(K38=3,L38,F38),IF(J38=2,IF(K38=3,INDEX(N38:AC38,1,L38+1),F38),IF(J38=4,IF(K38=3,CHOOSE(L38+1,C38,D38,E38,F38),F38),IF(J38=5,IF(K38=3,MOD(F38+L38,256),F38),IF(J38=6,IF(K38=3,MOD(F38+CHOOSE(L38+1,C38,D38,E38,F38),256),F38),IF(J38=7,IF(K38=3,MOD(F38-L38,256),F38),IF(J38=8,IF(K38=3,MOD(F38-CHOOSE(L38+1,C38,D38,E38,F38),256),F38),IF(J38=12,IF(K38=3,MOD(F38*(IF(L38&gt;=128,CHOOSE(L38-128+1,C38,D38,E38,F38),L38)),256),F38),IF(J38=14,IF(K38=3,_xlfn.BITAND(F38,(IF(L38&gt;=128,CHOOSE(L38-128+1,C38,D38,E38,F38),L38))),F38),IF(J38=16,IF(K38=3,_xlfn.BITOR(F38,(IF(L38&gt;=128,CHOOSE(L38-128+1,C38,D38,E38,F38),L38))),F38),IF(J38=17,IF(K38=3,_xlfn.BITXOR(F38,(IF(L38&gt;=128,CHOOSE(L38-128+1,C38,D38,E38,F38),L38))),F38),IF(J38=18,IF(3=1,QUOTIENT(C38,(IF(L38&gt;=128,CHOOSE(L38-128+1,C38,D38,E38,F38),L38))),IF(3=3,MOD(C38,(IF(L38&gt;=128,CHOOSE(L38-128+1,C38,D38,E38,F38),L38))),F38)),IF(J38=13,F38,F38)))))))))))))))</f>
        <v>0</v>
      </c>
      <c r="G39">
        <f t="shared" si="24"/>
        <v>0</v>
      </c>
      <c r="H39">
        <f t="shared" si="25"/>
        <v>0</v>
      </c>
      <c r="I39">
        <f t="shared" si="26"/>
        <v>0</v>
      </c>
      <c r="J39" cm="1">
        <f t="array" ref="J39">INDEX(PROGRAM!$E$2:$E$257, B39+1)</f>
        <v>15</v>
      </c>
      <c r="K39" cm="1">
        <f t="array" ref="K39">INDEX(PROGRAM!$F$2:$F$257, B39+1)</f>
        <v>0</v>
      </c>
      <c r="L39" cm="1">
        <f t="array" ref="L39">INDEX(PROGRAM!$G$2:$G$257, B39+1)</f>
        <v>0</v>
      </c>
      <c r="M39">
        <f t="shared" si="27"/>
        <v>1</v>
      </c>
      <c r="N39">
        <f t="shared" si="28"/>
        <v>0</v>
      </c>
      <c r="O39">
        <f t="shared" si="29"/>
        <v>10</v>
      </c>
      <c r="P39">
        <f t="shared" si="30"/>
        <v>15</v>
      </c>
      <c r="Q39">
        <f t="shared" si="31"/>
        <v>0</v>
      </c>
      <c r="R39">
        <f t="shared" si="32"/>
        <v>0</v>
      </c>
      <c r="S39">
        <f t="shared" si="33"/>
        <v>0</v>
      </c>
      <c r="T39">
        <f t="shared" si="34"/>
        <v>0</v>
      </c>
      <c r="U39">
        <f t="shared" si="35"/>
        <v>5</v>
      </c>
      <c r="V39">
        <f t="shared" si="36"/>
        <v>0</v>
      </c>
      <c r="W39">
        <f t="shared" si="37"/>
        <v>0</v>
      </c>
      <c r="X39">
        <f t="shared" si="38"/>
        <v>3</v>
      </c>
      <c r="Y39">
        <f t="shared" si="39"/>
        <v>0</v>
      </c>
      <c r="Z39">
        <f t="shared" si="40"/>
        <v>0</v>
      </c>
      <c r="AA39">
        <f t="shared" si="41"/>
        <v>0</v>
      </c>
      <c r="AB39">
        <f t="shared" si="42"/>
        <v>0</v>
      </c>
      <c r="AC39">
        <f t="shared" si="43"/>
        <v>0</v>
      </c>
    </row>
    <row r="40" spans="1:29" x14ac:dyDescent="0.2">
      <c r="A40">
        <f t="shared" si="22"/>
        <v>38</v>
      </c>
      <c r="B40">
        <f t="shared" si="23"/>
        <v>4</v>
      </c>
      <c r="C40" cm="1">
        <f t="array" ref="C40">IF(M39=1,C39,IF(J39=15,C39,IF(J39=1,IF(K39=0,L39,C39),IF(J39=2,IF(K39=0,INDEX(N39:AC39,1,L39+1),C39),IF(J39=4,IF(K39=0,CHOOSE(L39+1,C39,D39,E39,F39),C39),IF(J39=5,IF(K39=0,MOD(C39+L39,256),C39),IF(J39=6,IF(K39=0,MOD(C39+CHOOSE(L39+1,C39,D39,E39,F39),256),C39),IF(J39=7,IF(K39=0,MOD(C39-L39,256),C39),IF(J39=8,IF(K39=0,MOD(C39-CHOOSE(L39+1,C39,D39,E39,F39),256),C39),IF(J39=12,IF(K39=0,MOD(C39*(IF(L39&gt;=128,CHOOSE(L39-128+1,C39,D39,E39,F39),L39)),256),C39),IF(J39=14,IF(K39=0,_xlfn.BITAND(C39,(IF(L39&gt;=128,CHOOSE(L39-128+1,C39,D39,E39,F39),L39))),C39),IF(J39=16,IF(K39=0,_xlfn.BITOR(C39,(IF(L39&gt;=128,CHOOSE(L39-128+1,C39,D39,E39,F39),L39))),C39),IF(J39=17,IF(K39=0,_xlfn.BITXOR(C39,(IF(L39&gt;=128,CHOOSE(L39-128+1,C39,D39,E39,F39),L39))),C39),IF(J39=18,IF(0=1,QUOTIENT(C39,(IF(L39&gt;=128,CHOOSE(L39-128+1,C39,D39,E39,F39),L39))),IF(0=3,MOD(C39,(IF(L39&gt;=128,CHOOSE(L39-128+1,C39,D39,E39,F39),L39))),C39)),IF(J39=13,C39,C39)))))))))))))))</f>
        <v>10</v>
      </c>
      <c r="D40" cm="1">
        <f t="array" ref="D40">IF(M39=1,D39,IF(J39=15,D39,IF(J39=1,IF(K39=1,L39,D39),IF(J39=2,IF(K39=1,INDEX(N39:AC39,1,L39+1),D39),IF(J39=4,IF(K39=1,CHOOSE(L39+1,C39,D39,E39,F39),D39),IF(J39=5,IF(K39=1,MOD(D39+L39,256),D39),IF(J39=6,IF(K39=1,MOD(D39+CHOOSE(L39+1,C39,D39,E39,F39),256),D39),IF(J39=7,IF(K39=1,MOD(D39-L39,256),D39),IF(J39=8,IF(K39=1,MOD(D39-CHOOSE(L39+1,C39,D39,E39,F39),256),D39),IF(J39=12,IF(K39=1,MOD(D39*(IF(L39&gt;=128,CHOOSE(L39-128+1,C39,D39,E39,F39),L39)),256),D39),IF(J39=14,IF(K39=1,_xlfn.BITAND(D39,(IF(L39&gt;=128,CHOOSE(L39-128+1,C39,D39,E39,F39),L39))),D39),IF(J39=16,IF(K39=1,_xlfn.BITOR(D39,(IF(L39&gt;=128,CHOOSE(L39-128+1,C39,D39,E39,F39),L39))),D39),IF(J39=17,IF(K39=1,_xlfn.BITXOR(D39,(IF(L39&gt;=128,CHOOSE(L39-128+1,C39,D39,E39,F39),L39))),D39),IF(J39=18,IF(1=1,QUOTIENT(C39,(IF(L39&gt;=128,CHOOSE(L39-128+1,C39,D39,E39,F39),L39))),IF(1=3,MOD(C39,(IF(L39&gt;=128,CHOOSE(L39-128+1,C39,D39,E39,F39),L39))),D39)),IF(J39=13,D39,D39)))))))))))))))</f>
        <v>5</v>
      </c>
      <c r="E40" cm="1">
        <f t="array" ref="E40">IF(M39=1,E39,IF(J39=15,E39,IF(J39=1,IF(K39=2,L39,E39),IF(J39=2,IF(K39=2,INDEX(N39:AC39,1,L39+1),E39),IF(J39=4,IF(K39=2,CHOOSE(L39+1,C39,D39,E39,F39),E39),IF(J39=5,IF(K39=2,MOD(E39+L39,256),E39),IF(J39=6,IF(K39=2,MOD(E39+CHOOSE(L39+1,C39,D39,E39,F39),256),E39),IF(J39=7,IF(K39=2,MOD(E39-L39,256),E39),IF(J39=8,IF(K39=2,MOD(E39-CHOOSE(L39+1,C39,D39,E39,F39),256),E39),IF(J39=12,IF(K39=2,MOD(E39*(IF(L39&gt;=128,CHOOSE(L39-128+1,C39,D39,E39,F39),L39)),256),E39),IF(J39=14,IF(K39=2,_xlfn.BITAND(E39,(IF(L39&gt;=128,CHOOSE(L39-128+1,C39,D39,E39,F39),L39))),E39),IF(J39=16,IF(K39=2,_xlfn.BITOR(E39,(IF(L39&gt;=128,CHOOSE(L39-128+1,C39,D39,E39,F39),L39))),E39),IF(J39=17,IF(K39=2,_xlfn.BITXOR(E39,(IF(L39&gt;=128,CHOOSE(L39-128+1,C39,D39,E39,F39),L39))),E39),IF(J39=18,IF(2=1,QUOTIENT(C39,(IF(L39&gt;=128,CHOOSE(L39-128+1,C39,D39,E39,F39),L39))),IF(2=3,MOD(C39,(IF(L39&gt;=128,CHOOSE(L39-128+1,C39,D39,E39,F39),L39))),E39)),IF(J39=13,MOD(E39-1,256),E39)))))))))))))))</f>
        <v>0</v>
      </c>
      <c r="F40" cm="1">
        <f t="array" ref="F40">IF(M39=1,F39,IF(J39=15,F39,IF(J39=1,IF(K39=3,L39,F39),IF(J39=2,IF(K39=3,INDEX(N39:AC39,1,L39+1),F39),IF(J39=4,IF(K39=3,CHOOSE(L39+1,C39,D39,E39,F39),F39),IF(J39=5,IF(K39=3,MOD(F39+L39,256),F39),IF(J39=6,IF(K39=3,MOD(F39+CHOOSE(L39+1,C39,D39,E39,F39),256),F39),IF(J39=7,IF(K39=3,MOD(F39-L39,256),F39),IF(J39=8,IF(K39=3,MOD(F39-CHOOSE(L39+1,C39,D39,E39,F39),256),F39),IF(J39=12,IF(K39=3,MOD(F39*(IF(L39&gt;=128,CHOOSE(L39-128+1,C39,D39,E39,F39),L39)),256),F39),IF(J39=14,IF(K39=3,_xlfn.BITAND(F39,(IF(L39&gt;=128,CHOOSE(L39-128+1,C39,D39,E39,F39),L39))),F39),IF(J39=16,IF(K39=3,_xlfn.BITOR(F39,(IF(L39&gt;=128,CHOOSE(L39-128+1,C39,D39,E39,F39),L39))),F39),IF(J39=17,IF(K39=3,_xlfn.BITXOR(F39,(IF(L39&gt;=128,CHOOSE(L39-128+1,C39,D39,E39,F39),L39))),F39),IF(J39=18,IF(3=1,QUOTIENT(C39,(IF(L39&gt;=128,CHOOSE(L39-128+1,C39,D39,E39,F39),L39))),IF(3=3,MOD(C39,(IF(L39&gt;=128,CHOOSE(L39-128+1,C39,D39,E39,F39),L39))),F39)),IF(J39=13,F39,F39)))))))))))))))</f>
        <v>0</v>
      </c>
      <c r="G40">
        <f t="shared" si="24"/>
        <v>0</v>
      </c>
      <c r="H40">
        <f t="shared" si="25"/>
        <v>0</v>
      </c>
      <c r="I40">
        <f t="shared" si="26"/>
        <v>0</v>
      </c>
      <c r="J40" cm="1">
        <f t="array" ref="J40">INDEX(PROGRAM!$E$2:$E$257, B40+1)</f>
        <v>15</v>
      </c>
      <c r="K40" cm="1">
        <f t="array" ref="K40">INDEX(PROGRAM!$F$2:$F$257, B40+1)</f>
        <v>0</v>
      </c>
      <c r="L40" cm="1">
        <f t="array" ref="L40">INDEX(PROGRAM!$G$2:$G$257, B40+1)</f>
        <v>0</v>
      </c>
      <c r="M40">
        <f t="shared" si="27"/>
        <v>1</v>
      </c>
      <c r="N40">
        <f t="shared" si="28"/>
        <v>0</v>
      </c>
      <c r="O40">
        <f t="shared" si="29"/>
        <v>10</v>
      </c>
      <c r="P40">
        <f t="shared" si="30"/>
        <v>15</v>
      </c>
      <c r="Q40">
        <f t="shared" si="31"/>
        <v>0</v>
      </c>
      <c r="R40">
        <f t="shared" si="32"/>
        <v>0</v>
      </c>
      <c r="S40">
        <f t="shared" si="33"/>
        <v>0</v>
      </c>
      <c r="T40">
        <f t="shared" si="34"/>
        <v>0</v>
      </c>
      <c r="U40">
        <f t="shared" si="35"/>
        <v>5</v>
      </c>
      <c r="V40">
        <f t="shared" si="36"/>
        <v>0</v>
      </c>
      <c r="W40">
        <f t="shared" si="37"/>
        <v>0</v>
      </c>
      <c r="X40">
        <f t="shared" si="38"/>
        <v>3</v>
      </c>
      <c r="Y40">
        <f t="shared" si="39"/>
        <v>0</v>
      </c>
      <c r="Z40">
        <f t="shared" si="40"/>
        <v>0</v>
      </c>
      <c r="AA40">
        <f t="shared" si="41"/>
        <v>0</v>
      </c>
      <c r="AB40">
        <f t="shared" si="42"/>
        <v>0</v>
      </c>
      <c r="AC40">
        <f t="shared" si="43"/>
        <v>0</v>
      </c>
    </row>
    <row r="41" spans="1:29" x14ac:dyDescent="0.2">
      <c r="A41">
        <f t="shared" si="22"/>
        <v>39</v>
      </c>
      <c r="B41">
        <f t="shared" si="23"/>
        <v>4</v>
      </c>
      <c r="C41" cm="1">
        <f t="array" ref="C41">IF(M40=1,C40,IF(J40=15,C40,IF(J40=1,IF(K40=0,L40,C40),IF(J40=2,IF(K40=0,INDEX(N40:AC40,1,L40+1),C40),IF(J40=4,IF(K40=0,CHOOSE(L40+1,C40,D40,E40,F40),C40),IF(J40=5,IF(K40=0,MOD(C40+L40,256),C40),IF(J40=6,IF(K40=0,MOD(C40+CHOOSE(L40+1,C40,D40,E40,F40),256),C40),IF(J40=7,IF(K40=0,MOD(C40-L40,256),C40),IF(J40=8,IF(K40=0,MOD(C40-CHOOSE(L40+1,C40,D40,E40,F40),256),C40),IF(J40=12,IF(K40=0,MOD(C40*(IF(L40&gt;=128,CHOOSE(L40-128+1,C40,D40,E40,F40),L40)),256),C40),IF(J40=14,IF(K40=0,_xlfn.BITAND(C40,(IF(L40&gt;=128,CHOOSE(L40-128+1,C40,D40,E40,F40),L40))),C40),IF(J40=16,IF(K40=0,_xlfn.BITOR(C40,(IF(L40&gt;=128,CHOOSE(L40-128+1,C40,D40,E40,F40),L40))),C40),IF(J40=17,IF(K40=0,_xlfn.BITXOR(C40,(IF(L40&gt;=128,CHOOSE(L40-128+1,C40,D40,E40,F40),L40))),C40),IF(J40=18,IF(0=1,QUOTIENT(C40,(IF(L40&gt;=128,CHOOSE(L40-128+1,C40,D40,E40,F40),L40))),IF(0=3,MOD(C40,(IF(L40&gt;=128,CHOOSE(L40-128+1,C40,D40,E40,F40),L40))),C40)),IF(J40=13,C40,C40)))))))))))))))</f>
        <v>10</v>
      </c>
      <c r="D41" cm="1">
        <f t="array" ref="D41">IF(M40=1,D40,IF(J40=15,D40,IF(J40=1,IF(K40=1,L40,D40),IF(J40=2,IF(K40=1,INDEX(N40:AC40,1,L40+1),D40),IF(J40=4,IF(K40=1,CHOOSE(L40+1,C40,D40,E40,F40),D40),IF(J40=5,IF(K40=1,MOD(D40+L40,256),D40),IF(J40=6,IF(K40=1,MOD(D40+CHOOSE(L40+1,C40,D40,E40,F40),256),D40),IF(J40=7,IF(K40=1,MOD(D40-L40,256),D40),IF(J40=8,IF(K40=1,MOD(D40-CHOOSE(L40+1,C40,D40,E40,F40),256),D40),IF(J40=12,IF(K40=1,MOD(D40*(IF(L40&gt;=128,CHOOSE(L40-128+1,C40,D40,E40,F40),L40)),256),D40),IF(J40=14,IF(K40=1,_xlfn.BITAND(D40,(IF(L40&gt;=128,CHOOSE(L40-128+1,C40,D40,E40,F40),L40))),D40),IF(J40=16,IF(K40=1,_xlfn.BITOR(D40,(IF(L40&gt;=128,CHOOSE(L40-128+1,C40,D40,E40,F40),L40))),D40),IF(J40=17,IF(K40=1,_xlfn.BITXOR(D40,(IF(L40&gt;=128,CHOOSE(L40-128+1,C40,D40,E40,F40),L40))),D40),IF(J40=18,IF(1=1,QUOTIENT(C40,(IF(L40&gt;=128,CHOOSE(L40-128+1,C40,D40,E40,F40),L40))),IF(1=3,MOD(C40,(IF(L40&gt;=128,CHOOSE(L40-128+1,C40,D40,E40,F40),L40))),D40)),IF(J40=13,D40,D40)))))))))))))))</f>
        <v>5</v>
      </c>
      <c r="E41" cm="1">
        <f t="array" ref="E41">IF(M40=1,E40,IF(J40=15,E40,IF(J40=1,IF(K40=2,L40,E40),IF(J40=2,IF(K40=2,INDEX(N40:AC40,1,L40+1),E40),IF(J40=4,IF(K40=2,CHOOSE(L40+1,C40,D40,E40,F40),E40),IF(J40=5,IF(K40=2,MOD(E40+L40,256),E40),IF(J40=6,IF(K40=2,MOD(E40+CHOOSE(L40+1,C40,D40,E40,F40),256),E40),IF(J40=7,IF(K40=2,MOD(E40-L40,256),E40),IF(J40=8,IF(K40=2,MOD(E40-CHOOSE(L40+1,C40,D40,E40,F40),256),E40),IF(J40=12,IF(K40=2,MOD(E40*(IF(L40&gt;=128,CHOOSE(L40-128+1,C40,D40,E40,F40),L40)),256),E40),IF(J40=14,IF(K40=2,_xlfn.BITAND(E40,(IF(L40&gt;=128,CHOOSE(L40-128+1,C40,D40,E40,F40),L40))),E40),IF(J40=16,IF(K40=2,_xlfn.BITOR(E40,(IF(L40&gt;=128,CHOOSE(L40-128+1,C40,D40,E40,F40),L40))),E40),IF(J40=17,IF(K40=2,_xlfn.BITXOR(E40,(IF(L40&gt;=128,CHOOSE(L40-128+1,C40,D40,E40,F40),L40))),E40),IF(J40=18,IF(2=1,QUOTIENT(C40,(IF(L40&gt;=128,CHOOSE(L40-128+1,C40,D40,E40,F40),L40))),IF(2=3,MOD(C40,(IF(L40&gt;=128,CHOOSE(L40-128+1,C40,D40,E40,F40),L40))),E40)),IF(J40=13,MOD(E40-1,256),E40)))))))))))))))</f>
        <v>0</v>
      </c>
      <c r="F41" cm="1">
        <f t="array" ref="F41">IF(M40=1,F40,IF(J40=15,F40,IF(J40=1,IF(K40=3,L40,F40),IF(J40=2,IF(K40=3,INDEX(N40:AC40,1,L40+1),F40),IF(J40=4,IF(K40=3,CHOOSE(L40+1,C40,D40,E40,F40),F40),IF(J40=5,IF(K40=3,MOD(F40+L40,256),F40),IF(J40=6,IF(K40=3,MOD(F40+CHOOSE(L40+1,C40,D40,E40,F40),256),F40),IF(J40=7,IF(K40=3,MOD(F40-L40,256),F40),IF(J40=8,IF(K40=3,MOD(F40-CHOOSE(L40+1,C40,D40,E40,F40),256),F40),IF(J40=12,IF(K40=3,MOD(F40*(IF(L40&gt;=128,CHOOSE(L40-128+1,C40,D40,E40,F40),L40)),256),F40),IF(J40=14,IF(K40=3,_xlfn.BITAND(F40,(IF(L40&gt;=128,CHOOSE(L40-128+1,C40,D40,E40,F40),L40))),F40),IF(J40=16,IF(K40=3,_xlfn.BITOR(F40,(IF(L40&gt;=128,CHOOSE(L40-128+1,C40,D40,E40,F40),L40))),F40),IF(J40=17,IF(K40=3,_xlfn.BITXOR(F40,(IF(L40&gt;=128,CHOOSE(L40-128+1,C40,D40,E40,F40),L40))),F40),IF(J40=18,IF(3=1,QUOTIENT(C40,(IF(L40&gt;=128,CHOOSE(L40-128+1,C40,D40,E40,F40),L40))),IF(3=3,MOD(C40,(IF(L40&gt;=128,CHOOSE(L40-128+1,C40,D40,E40,F40),L40))),F40)),IF(J40=13,F40,F40)))))))))))))))</f>
        <v>0</v>
      </c>
      <c r="G41">
        <f t="shared" si="24"/>
        <v>0</v>
      </c>
      <c r="H41">
        <f t="shared" si="25"/>
        <v>0</v>
      </c>
      <c r="I41">
        <f t="shared" si="26"/>
        <v>0</v>
      </c>
      <c r="J41" cm="1">
        <f t="array" ref="J41">INDEX(PROGRAM!$E$2:$E$257, B41+1)</f>
        <v>15</v>
      </c>
      <c r="K41" cm="1">
        <f t="array" ref="K41">INDEX(PROGRAM!$F$2:$F$257, B41+1)</f>
        <v>0</v>
      </c>
      <c r="L41" cm="1">
        <f t="array" ref="L41">INDEX(PROGRAM!$G$2:$G$257, B41+1)</f>
        <v>0</v>
      </c>
      <c r="M41">
        <f t="shared" si="27"/>
        <v>1</v>
      </c>
      <c r="N41">
        <f t="shared" si="28"/>
        <v>0</v>
      </c>
      <c r="O41">
        <f t="shared" si="29"/>
        <v>10</v>
      </c>
      <c r="P41">
        <f t="shared" si="30"/>
        <v>15</v>
      </c>
      <c r="Q41">
        <f t="shared" si="31"/>
        <v>0</v>
      </c>
      <c r="R41">
        <f t="shared" si="32"/>
        <v>0</v>
      </c>
      <c r="S41">
        <f t="shared" si="33"/>
        <v>0</v>
      </c>
      <c r="T41">
        <f t="shared" si="34"/>
        <v>0</v>
      </c>
      <c r="U41">
        <f t="shared" si="35"/>
        <v>5</v>
      </c>
      <c r="V41">
        <f t="shared" si="36"/>
        <v>0</v>
      </c>
      <c r="W41">
        <f t="shared" si="37"/>
        <v>0</v>
      </c>
      <c r="X41">
        <f t="shared" si="38"/>
        <v>3</v>
      </c>
      <c r="Y41">
        <f t="shared" si="39"/>
        <v>0</v>
      </c>
      <c r="Z41">
        <f t="shared" si="40"/>
        <v>0</v>
      </c>
      <c r="AA41">
        <f t="shared" si="41"/>
        <v>0</v>
      </c>
      <c r="AB41">
        <f t="shared" si="42"/>
        <v>0</v>
      </c>
      <c r="AC41">
        <f t="shared" si="43"/>
        <v>0</v>
      </c>
    </row>
    <row r="42" spans="1:29" x14ac:dyDescent="0.2">
      <c r="A42">
        <f t="shared" si="22"/>
        <v>40</v>
      </c>
      <c r="B42">
        <f t="shared" si="23"/>
        <v>4</v>
      </c>
      <c r="C42" cm="1">
        <f t="array" ref="C42">IF(M41=1,C41,IF(J41=15,C41,IF(J41=1,IF(K41=0,L41,C41),IF(J41=2,IF(K41=0,INDEX(N41:AC41,1,L41+1),C41),IF(J41=4,IF(K41=0,CHOOSE(L41+1,C41,D41,E41,F41),C41),IF(J41=5,IF(K41=0,MOD(C41+L41,256),C41),IF(J41=6,IF(K41=0,MOD(C41+CHOOSE(L41+1,C41,D41,E41,F41),256),C41),IF(J41=7,IF(K41=0,MOD(C41-L41,256),C41),IF(J41=8,IF(K41=0,MOD(C41-CHOOSE(L41+1,C41,D41,E41,F41),256),C41),IF(J41=12,IF(K41=0,MOD(C41*(IF(L41&gt;=128,CHOOSE(L41-128+1,C41,D41,E41,F41),L41)),256),C41),IF(J41=14,IF(K41=0,_xlfn.BITAND(C41,(IF(L41&gt;=128,CHOOSE(L41-128+1,C41,D41,E41,F41),L41))),C41),IF(J41=16,IF(K41=0,_xlfn.BITOR(C41,(IF(L41&gt;=128,CHOOSE(L41-128+1,C41,D41,E41,F41),L41))),C41),IF(J41=17,IF(K41=0,_xlfn.BITXOR(C41,(IF(L41&gt;=128,CHOOSE(L41-128+1,C41,D41,E41,F41),L41))),C41),IF(J41=18,IF(0=1,QUOTIENT(C41,(IF(L41&gt;=128,CHOOSE(L41-128+1,C41,D41,E41,F41),L41))),IF(0=3,MOD(C41,(IF(L41&gt;=128,CHOOSE(L41-128+1,C41,D41,E41,F41),L41))),C41)),IF(J41=13,C41,C41)))))))))))))))</f>
        <v>10</v>
      </c>
      <c r="D42" cm="1">
        <f t="array" ref="D42">IF(M41=1,D41,IF(J41=15,D41,IF(J41=1,IF(K41=1,L41,D41),IF(J41=2,IF(K41=1,INDEX(N41:AC41,1,L41+1),D41),IF(J41=4,IF(K41=1,CHOOSE(L41+1,C41,D41,E41,F41),D41),IF(J41=5,IF(K41=1,MOD(D41+L41,256),D41),IF(J41=6,IF(K41=1,MOD(D41+CHOOSE(L41+1,C41,D41,E41,F41),256),D41),IF(J41=7,IF(K41=1,MOD(D41-L41,256),D41),IF(J41=8,IF(K41=1,MOD(D41-CHOOSE(L41+1,C41,D41,E41,F41),256),D41),IF(J41=12,IF(K41=1,MOD(D41*(IF(L41&gt;=128,CHOOSE(L41-128+1,C41,D41,E41,F41),L41)),256),D41),IF(J41=14,IF(K41=1,_xlfn.BITAND(D41,(IF(L41&gt;=128,CHOOSE(L41-128+1,C41,D41,E41,F41),L41))),D41),IF(J41=16,IF(K41=1,_xlfn.BITOR(D41,(IF(L41&gt;=128,CHOOSE(L41-128+1,C41,D41,E41,F41),L41))),D41),IF(J41=17,IF(K41=1,_xlfn.BITXOR(D41,(IF(L41&gt;=128,CHOOSE(L41-128+1,C41,D41,E41,F41),L41))),D41),IF(J41=18,IF(1=1,QUOTIENT(C41,(IF(L41&gt;=128,CHOOSE(L41-128+1,C41,D41,E41,F41),L41))),IF(1=3,MOD(C41,(IF(L41&gt;=128,CHOOSE(L41-128+1,C41,D41,E41,F41),L41))),D41)),IF(J41=13,D41,D41)))))))))))))))</f>
        <v>5</v>
      </c>
      <c r="E42" cm="1">
        <f t="array" ref="E42">IF(M41=1,E41,IF(J41=15,E41,IF(J41=1,IF(K41=2,L41,E41),IF(J41=2,IF(K41=2,INDEX(N41:AC41,1,L41+1),E41),IF(J41=4,IF(K41=2,CHOOSE(L41+1,C41,D41,E41,F41),E41),IF(J41=5,IF(K41=2,MOD(E41+L41,256),E41),IF(J41=6,IF(K41=2,MOD(E41+CHOOSE(L41+1,C41,D41,E41,F41),256),E41),IF(J41=7,IF(K41=2,MOD(E41-L41,256),E41),IF(J41=8,IF(K41=2,MOD(E41-CHOOSE(L41+1,C41,D41,E41,F41),256),E41),IF(J41=12,IF(K41=2,MOD(E41*(IF(L41&gt;=128,CHOOSE(L41-128+1,C41,D41,E41,F41),L41)),256),E41),IF(J41=14,IF(K41=2,_xlfn.BITAND(E41,(IF(L41&gt;=128,CHOOSE(L41-128+1,C41,D41,E41,F41),L41))),E41),IF(J41=16,IF(K41=2,_xlfn.BITOR(E41,(IF(L41&gt;=128,CHOOSE(L41-128+1,C41,D41,E41,F41),L41))),E41),IF(J41=17,IF(K41=2,_xlfn.BITXOR(E41,(IF(L41&gt;=128,CHOOSE(L41-128+1,C41,D41,E41,F41),L41))),E41),IF(J41=18,IF(2=1,QUOTIENT(C41,(IF(L41&gt;=128,CHOOSE(L41-128+1,C41,D41,E41,F41),L41))),IF(2=3,MOD(C41,(IF(L41&gt;=128,CHOOSE(L41-128+1,C41,D41,E41,F41),L41))),E41)),IF(J41=13,MOD(E41-1,256),E41)))))))))))))))</f>
        <v>0</v>
      </c>
      <c r="F42" cm="1">
        <f t="array" ref="F42">IF(M41=1,F41,IF(J41=15,F41,IF(J41=1,IF(K41=3,L41,F41),IF(J41=2,IF(K41=3,INDEX(N41:AC41,1,L41+1),F41),IF(J41=4,IF(K41=3,CHOOSE(L41+1,C41,D41,E41,F41),F41),IF(J41=5,IF(K41=3,MOD(F41+L41,256),F41),IF(J41=6,IF(K41=3,MOD(F41+CHOOSE(L41+1,C41,D41,E41,F41),256),F41),IF(J41=7,IF(K41=3,MOD(F41-L41,256),F41),IF(J41=8,IF(K41=3,MOD(F41-CHOOSE(L41+1,C41,D41,E41,F41),256),F41),IF(J41=12,IF(K41=3,MOD(F41*(IF(L41&gt;=128,CHOOSE(L41-128+1,C41,D41,E41,F41),L41)),256),F41),IF(J41=14,IF(K41=3,_xlfn.BITAND(F41,(IF(L41&gt;=128,CHOOSE(L41-128+1,C41,D41,E41,F41),L41))),F41),IF(J41=16,IF(K41=3,_xlfn.BITOR(F41,(IF(L41&gt;=128,CHOOSE(L41-128+1,C41,D41,E41,F41),L41))),F41),IF(J41=17,IF(K41=3,_xlfn.BITXOR(F41,(IF(L41&gt;=128,CHOOSE(L41-128+1,C41,D41,E41,F41),L41))),F41),IF(J41=18,IF(3=1,QUOTIENT(C41,(IF(L41&gt;=128,CHOOSE(L41-128+1,C41,D41,E41,F41),L41))),IF(3=3,MOD(C41,(IF(L41&gt;=128,CHOOSE(L41-128+1,C41,D41,E41,F41),L41))),F41)),IF(J41=13,F41,F41)))))))))))))))</f>
        <v>0</v>
      </c>
      <c r="G42">
        <f t="shared" si="24"/>
        <v>0</v>
      </c>
      <c r="H42">
        <f t="shared" si="25"/>
        <v>0</v>
      </c>
      <c r="I42">
        <f t="shared" si="26"/>
        <v>0</v>
      </c>
      <c r="J42" cm="1">
        <f t="array" ref="J42">INDEX(PROGRAM!$E$2:$E$257, B42+1)</f>
        <v>15</v>
      </c>
      <c r="K42" cm="1">
        <f t="array" ref="K42">INDEX(PROGRAM!$F$2:$F$257, B42+1)</f>
        <v>0</v>
      </c>
      <c r="L42" cm="1">
        <f t="array" ref="L42">INDEX(PROGRAM!$G$2:$G$257, B42+1)</f>
        <v>0</v>
      </c>
      <c r="M42">
        <f t="shared" si="27"/>
        <v>1</v>
      </c>
      <c r="N42">
        <f t="shared" si="28"/>
        <v>0</v>
      </c>
      <c r="O42">
        <f t="shared" si="29"/>
        <v>10</v>
      </c>
      <c r="P42">
        <f t="shared" si="30"/>
        <v>15</v>
      </c>
      <c r="Q42">
        <f t="shared" si="31"/>
        <v>0</v>
      </c>
      <c r="R42">
        <f t="shared" si="32"/>
        <v>0</v>
      </c>
      <c r="S42">
        <f t="shared" si="33"/>
        <v>0</v>
      </c>
      <c r="T42">
        <f t="shared" si="34"/>
        <v>0</v>
      </c>
      <c r="U42">
        <f t="shared" si="35"/>
        <v>5</v>
      </c>
      <c r="V42">
        <f t="shared" si="36"/>
        <v>0</v>
      </c>
      <c r="W42">
        <f t="shared" si="37"/>
        <v>0</v>
      </c>
      <c r="X42">
        <f t="shared" si="38"/>
        <v>3</v>
      </c>
      <c r="Y42">
        <f t="shared" si="39"/>
        <v>0</v>
      </c>
      <c r="Z42">
        <f t="shared" si="40"/>
        <v>0</v>
      </c>
      <c r="AA42">
        <f t="shared" si="41"/>
        <v>0</v>
      </c>
      <c r="AB42">
        <f t="shared" si="42"/>
        <v>0</v>
      </c>
      <c r="AC42">
        <f t="shared" si="43"/>
        <v>0</v>
      </c>
    </row>
    <row r="43" spans="1:29" x14ac:dyDescent="0.2">
      <c r="A43">
        <f t="shared" si="22"/>
        <v>41</v>
      </c>
      <c r="B43">
        <f t="shared" si="23"/>
        <v>4</v>
      </c>
      <c r="C43" cm="1">
        <f t="array" ref="C43">IF(M42=1,C42,IF(J42=15,C42,IF(J42=1,IF(K42=0,L42,C42),IF(J42=2,IF(K42=0,INDEX(N42:AC42,1,L42+1),C42),IF(J42=4,IF(K42=0,CHOOSE(L42+1,C42,D42,E42,F42),C42),IF(J42=5,IF(K42=0,MOD(C42+L42,256),C42),IF(J42=6,IF(K42=0,MOD(C42+CHOOSE(L42+1,C42,D42,E42,F42),256),C42),IF(J42=7,IF(K42=0,MOD(C42-L42,256),C42),IF(J42=8,IF(K42=0,MOD(C42-CHOOSE(L42+1,C42,D42,E42,F42),256),C42),IF(J42=12,IF(K42=0,MOD(C42*(IF(L42&gt;=128,CHOOSE(L42-128+1,C42,D42,E42,F42),L42)),256),C42),IF(J42=14,IF(K42=0,_xlfn.BITAND(C42,(IF(L42&gt;=128,CHOOSE(L42-128+1,C42,D42,E42,F42),L42))),C42),IF(J42=16,IF(K42=0,_xlfn.BITOR(C42,(IF(L42&gt;=128,CHOOSE(L42-128+1,C42,D42,E42,F42),L42))),C42),IF(J42=17,IF(K42=0,_xlfn.BITXOR(C42,(IF(L42&gt;=128,CHOOSE(L42-128+1,C42,D42,E42,F42),L42))),C42),IF(J42=18,IF(0=1,QUOTIENT(C42,(IF(L42&gt;=128,CHOOSE(L42-128+1,C42,D42,E42,F42),L42))),IF(0=3,MOD(C42,(IF(L42&gt;=128,CHOOSE(L42-128+1,C42,D42,E42,F42),L42))),C42)),IF(J42=13,C42,C42)))))))))))))))</f>
        <v>10</v>
      </c>
      <c r="D43" cm="1">
        <f t="array" ref="D43">IF(M42=1,D42,IF(J42=15,D42,IF(J42=1,IF(K42=1,L42,D42),IF(J42=2,IF(K42=1,INDEX(N42:AC42,1,L42+1),D42),IF(J42=4,IF(K42=1,CHOOSE(L42+1,C42,D42,E42,F42),D42),IF(J42=5,IF(K42=1,MOD(D42+L42,256),D42),IF(J42=6,IF(K42=1,MOD(D42+CHOOSE(L42+1,C42,D42,E42,F42),256),D42),IF(J42=7,IF(K42=1,MOD(D42-L42,256),D42),IF(J42=8,IF(K42=1,MOD(D42-CHOOSE(L42+1,C42,D42,E42,F42),256),D42),IF(J42=12,IF(K42=1,MOD(D42*(IF(L42&gt;=128,CHOOSE(L42-128+1,C42,D42,E42,F42),L42)),256),D42),IF(J42=14,IF(K42=1,_xlfn.BITAND(D42,(IF(L42&gt;=128,CHOOSE(L42-128+1,C42,D42,E42,F42),L42))),D42),IF(J42=16,IF(K42=1,_xlfn.BITOR(D42,(IF(L42&gt;=128,CHOOSE(L42-128+1,C42,D42,E42,F42),L42))),D42),IF(J42=17,IF(K42=1,_xlfn.BITXOR(D42,(IF(L42&gt;=128,CHOOSE(L42-128+1,C42,D42,E42,F42),L42))),D42),IF(J42=18,IF(1=1,QUOTIENT(C42,(IF(L42&gt;=128,CHOOSE(L42-128+1,C42,D42,E42,F42),L42))),IF(1=3,MOD(C42,(IF(L42&gt;=128,CHOOSE(L42-128+1,C42,D42,E42,F42),L42))),D42)),IF(J42=13,D42,D42)))))))))))))))</f>
        <v>5</v>
      </c>
      <c r="E43" cm="1">
        <f t="array" ref="E43">IF(M42=1,E42,IF(J42=15,E42,IF(J42=1,IF(K42=2,L42,E42),IF(J42=2,IF(K42=2,INDEX(N42:AC42,1,L42+1),E42),IF(J42=4,IF(K42=2,CHOOSE(L42+1,C42,D42,E42,F42),E42),IF(J42=5,IF(K42=2,MOD(E42+L42,256),E42),IF(J42=6,IF(K42=2,MOD(E42+CHOOSE(L42+1,C42,D42,E42,F42),256),E42),IF(J42=7,IF(K42=2,MOD(E42-L42,256),E42),IF(J42=8,IF(K42=2,MOD(E42-CHOOSE(L42+1,C42,D42,E42,F42),256),E42),IF(J42=12,IF(K42=2,MOD(E42*(IF(L42&gt;=128,CHOOSE(L42-128+1,C42,D42,E42,F42),L42)),256),E42),IF(J42=14,IF(K42=2,_xlfn.BITAND(E42,(IF(L42&gt;=128,CHOOSE(L42-128+1,C42,D42,E42,F42),L42))),E42),IF(J42=16,IF(K42=2,_xlfn.BITOR(E42,(IF(L42&gt;=128,CHOOSE(L42-128+1,C42,D42,E42,F42),L42))),E42),IF(J42=17,IF(K42=2,_xlfn.BITXOR(E42,(IF(L42&gt;=128,CHOOSE(L42-128+1,C42,D42,E42,F42),L42))),E42),IF(J42=18,IF(2=1,QUOTIENT(C42,(IF(L42&gt;=128,CHOOSE(L42-128+1,C42,D42,E42,F42),L42))),IF(2=3,MOD(C42,(IF(L42&gt;=128,CHOOSE(L42-128+1,C42,D42,E42,F42),L42))),E42)),IF(J42=13,MOD(E42-1,256),E42)))))))))))))))</f>
        <v>0</v>
      </c>
      <c r="F43" cm="1">
        <f t="array" ref="F43">IF(M42=1,F42,IF(J42=15,F42,IF(J42=1,IF(K42=3,L42,F42),IF(J42=2,IF(K42=3,INDEX(N42:AC42,1,L42+1),F42),IF(J42=4,IF(K42=3,CHOOSE(L42+1,C42,D42,E42,F42),F42),IF(J42=5,IF(K42=3,MOD(F42+L42,256),F42),IF(J42=6,IF(K42=3,MOD(F42+CHOOSE(L42+1,C42,D42,E42,F42),256),F42),IF(J42=7,IF(K42=3,MOD(F42-L42,256),F42),IF(J42=8,IF(K42=3,MOD(F42-CHOOSE(L42+1,C42,D42,E42,F42),256),F42),IF(J42=12,IF(K42=3,MOD(F42*(IF(L42&gt;=128,CHOOSE(L42-128+1,C42,D42,E42,F42),L42)),256),F42),IF(J42=14,IF(K42=3,_xlfn.BITAND(F42,(IF(L42&gt;=128,CHOOSE(L42-128+1,C42,D42,E42,F42),L42))),F42),IF(J42=16,IF(K42=3,_xlfn.BITOR(F42,(IF(L42&gt;=128,CHOOSE(L42-128+1,C42,D42,E42,F42),L42))),F42),IF(J42=17,IF(K42=3,_xlfn.BITXOR(F42,(IF(L42&gt;=128,CHOOSE(L42-128+1,C42,D42,E42,F42),L42))),F42),IF(J42=18,IF(3=1,QUOTIENT(C42,(IF(L42&gt;=128,CHOOSE(L42-128+1,C42,D42,E42,F42),L42))),IF(3=3,MOD(C42,(IF(L42&gt;=128,CHOOSE(L42-128+1,C42,D42,E42,F42),L42))),F42)),IF(J42=13,F42,F42)))))))))))))))</f>
        <v>0</v>
      </c>
      <c r="G43">
        <f t="shared" si="24"/>
        <v>0</v>
      </c>
      <c r="H43">
        <f t="shared" si="25"/>
        <v>0</v>
      </c>
      <c r="I43">
        <f t="shared" si="26"/>
        <v>0</v>
      </c>
      <c r="J43" cm="1">
        <f t="array" ref="J43">INDEX(PROGRAM!$E$2:$E$257, B43+1)</f>
        <v>15</v>
      </c>
      <c r="K43" cm="1">
        <f t="array" ref="K43">INDEX(PROGRAM!$F$2:$F$257, B43+1)</f>
        <v>0</v>
      </c>
      <c r="L43" cm="1">
        <f t="array" ref="L43">INDEX(PROGRAM!$G$2:$G$257, B43+1)</f>
        <v>0</v>
      </c>
      <c r="M43">
        <f t="shared" si="27"/>
        <v>1</v>
      </c>
      <c r="N43">
        <f t="shared" si="28"/>
        <v>0</v>
      </c>
      <c r="O43">
        <f t="shared" si="29"/>
        <v>10</v>
      </c>
      <c r="P43">
        <f t="shared" si="30"/>
        <v>15</v>
      </c>
      <c r="Q43">
        <f t="shared" si="31"/>
        <v>0</v>
      </c>
      <c r="R43">
        <f t="shared" si="32"/>
        <v>0</v>
      </c>
      <c r="S43">
        <f t="shared" si="33"/>
        <v>0</v>
      </c>
      <c r="T43">
        <f t="shared" si="34"/>
        <v>0</v>
      </c>
      <c r="U43">
        <f t="shared" si="35"/>
        <v>5</v>
      </c>
      <c r="V43">
        <f t="shared" si="36"/>
        <v>0</v>
      </c>
      <c r="W43">
        <f t="shared" si="37"/>
        <v>0</v>
      </c>
      <c r="X43">
        <f t="shared" si="38"/>
        <v>3</v>
      </c>
      <c r="Y43">
        <f t="shared" si="39"/>
        <v>0</v>
      </c>
      <c r="Z43">
        <f t="shared" si="40"/>
        <v>0</v>
      </c>
      <c r="AA43">
        <f t="shared" si="41"/>
        <v>0</v>
      </c>
      <c r="AB43">
        <f t="shared" si="42"/>
        <v>0</v>
      </c>
      <c r="AC43">
        <f t="shared" si="43"/>
        <v>0</v>
      </c>
    </row>
    <row r="44" spans="1:29" x14ac:dyDescent="0.2">
      <c r="A44">
        <f t="shared" si="22"/>
        <v>42</v>
      </c>
      <c r="B44">
        <f t="shared" si="23"/>
        <v>4</v>
      </c>
      <c r="C44" cm="1">
        <f t="array" ref="C44">IF(M43=1,C43,IF(J43=15,C43,IF(J43=1,IF(K43=0,L43,C43),IF(J43=2,IF(K43=0,INDEX(N43:AC43,1,L43+1),C43),IF(J43=4,IF(K43=0,CHOOSE(L43+1,C43,D43,E43,F43),C43),IF(J43=5,IF(K43=0,MOD(C43+L43,256),C43),IF(J43=6,IF(K43=0,MOD(C43+CHOOSE(L43+1,C43,D43,E43,F43),256),C43),IF(J43=7,IF(K43=0,MOD(C43-L43,256),C43),IF(J43=8,IF(K43=0,MOD(C43-CHOOSE(L43+1,C43,D43,E43,F43),256),C43),IF(J43=12,IF(K43=0,MOD(C43*(IF(L43&gt;=128,CHOOSE(L43-128+1,C43,D43,E43,F43),L43)),256),C43),IF(J43=14,IF(K43=0,_xlfn.BITAND(C43,(IF(L43&gt;=128,CHOOSE(L43-128+1,C43,D43,E43,F43),L43))),C43),IF(J43=16,IF(K43=0,_xlfn.BITOR(C43,(IF(L43&gt;=128,CHOOSE(L43-128+1,C43,D43,E43,F43),L43))),C43),IF(J43=17,IF(K43=0,_xlfn.BITXOR(C43,(IF(L43&gt;=128,CHOOSE(L43-128+1,C43,D43,E43,F43),L43))),C43),IF(J43=18,IF(0=1,QUOTIENT(C43,(IF(L43&gt;=128,CHOOSE(L43-128+1,C43,D43,E43,F43),L43))),IF(0=3,MOD(C43,(IF(L43&gt;=128,CHOOSE(L43-128+1,C43,D43,E43,F43),L43))),C43)),IF(J43=13,C43,C43)))))))))))))))</f>
        <v>10</v>
      </c>
      <c r="D44" cm="1">
        <f t="array" ref="D44">IF(M43=1,D43,IF(J43=15,D43,IF(J43=1,IF(K43=1,L43,D43),IF(J43=2,IF(K43=1,INDEX(N43:AC43,1,L43+1),D43),IF(J43=4,IF(K43=1,CHOOSE(L43+1,C43,D43,E43,F43),D43),IF(J43=5,IF(K43=1,MOD(D43+L43,256),D43),IF(J43=6,IF(K43=1,MOD(D43+CHOOSE(L43+1,C43,D43,E43,F43),256),D43),IF(J43=7,IF(K43=1,MOD(D43-L43,256),D43),IF(J43=8,IF(K43=1,MOD(D43-CHOOSE(L43+1,C43,D43,E43,F43),256),D43),IF(J43=12,IF(K43=1,MOD(D43*(IF(L43&gt;=128,CHOOSE(L43-128+1,C43,D43,E43,F43),L43)),256),D43),IF(J43=14,IF(K43=1,_xlfn.BITAND(D43,(IF(L43&gt;=128,CHOOSE(L43-128+1,C43,D43,E43,F43),L43))),D43),IF(J43=16,IF(K43=1,_xlfn.BITOR(D43,(IF(L43&gt;=128,CHOOSE(L43-128+1,C43,D43,E43,F43),L43))),D43),IF(J43=17,IF(K43=1,_xlfn.BITXOR(D43,(IF(L43&gt;=128,CHOOSE(L43-128+1,C43,D43,E43,F43),L43))),D43),IF(J43=18,IF(1=1,QUOTIENT(C43,(IF(L43&gt;=128,CHOOSE(L43-128+1,C43,D43,E43,F43),L43))),IF(1=3,MOD(C43,(IF(L43&gt;=128,CHOOSE(L43-128+1,C43,D43,E43,F43),L43))),D43)),IF(J43=13,D43,D43)))))))))))))))</f>
        <v>5</v>
      </c>
      <c r="E44" cm="1">
        <f t="array" ref="E44">IF(M43=1,E43,IF(J43=15,E43,IF(J43=1,IF(K43=2,L43,E43),IF(J43=2,IF(K43=2,INDEX(N43:AC43,1,L43+1),E43),IF(J43=4,IF(K43=2,CHOOSE(L43+1,C43,D43,E43,F43),E43),IF(J43=5,IF(K43=2,MOD(E43+L43,256),E43),IF(J43=6,IF(K43=2,MOD(E43+CHOOSE(L43+1,C43,D43,E43,F43),256),E43),IF(J43=7,IF(K43=2,MOD(E43-L43,256),E43),IF(J43=8,IF(K43=2,MOD(E43-CHOOSE(L43+1,C43,D43,E43,F43),256),E43),IF(J43=12,IF(K43=2,MOD(E43*(IF(L43&gt;=128,CHOOSE(L43-128+1,C43,D43,E43,F43),L43)),256),E43),IF(J43=14,IF(K43=2,_xlfn.BITAND(E43,(IF(L43&gt;=128,CHOOSE(L43-128+1,C43,D43,E43,F43),L43))),E43),IF(J43=16,IF(K43=2,_xlfn.BITOR(E43,(IF(L43&gt;=128,CHOOSE(L43-128+1,C43,D43,E43,F43),L43))),E43),IF(J43=17,IF(K43=2,_xlfn.BITXOR(E43,(IF(L43&gt;=128,CHOOSE(L43-128+1,C43,D43,E43,F43),L43))),E43),IF(J43=18,IF(2=1,QUOTIENT(C43,(IF(L43&gt;=128,CHOOSE(L43-128+1,C43,D43,E43,F43),L43))),IF(2=3,MOD(C43,(IF(L43&gt;=128,CHOOSE(L43-128+1,C43,D43,E43,F43),L43))),E43)),IF(J43=13,MOD(E43-1,256),E43)))))))))))))))</f>
        <v>0</v>
      </c>
      <c r="F44" cm="1">
        <f t="array" ref="F44">IF(M43=1,F43,IF(J43=15,F43,IF(J43=1,IF(K43=3,L43,F43),IF(J43=2,IF(K43=3,INDEX(N43:AC43,1,L43+1),F43),IF(J43=4,IF(K43=3,CHOOSE(L43+1,C43,D43,E43,F43),F43),IF(J43=5,IF(K43=3,MOD(F43+L43,256),F43),IF(J43=6,IF(K43=3,MOD(F43+CHOOSE(L43+1,C43,D43,E43,F43),256),F43),IF(J43=7,IF(K43=3,MOD(F43-L43,256),F43),IF(J43=8,IF(K43=3,MOD(F43-CHOOSE(L43+1,C43,D43,E43,F43),256),F43),IF(J43=12,IF(K43=3,MOD(F43*(IF(L43&gt;=128,CHOOSE(L43-128+1,C43,D43,E43,F43),L43)),256),F43),IF(J43=14,IF(K43=3,_xlfn.BITAND(F43,(IF(L43&gt;=128,CHOOSE(L43-128+1,C43,D43,E43,F43),L43))),F43),IF(J43=16,IF(K43=3,_xlfn.BITOR(F43,(IF(L43&gt;=128,CHOOSE(L43-128+1,C43,D43,E43,F43),L43))),F43),IF(J43=17,IF(K43=3,_xlfn.BITXOR(F43,(IF(L43&gt;=128,CHOOSE(L43-128+1,C43,D43,E43,F43),L43))),F43),IF(J43=18,IF(3=1,QUOTIENT(C43,(IF(L43&gt;=128,CHOOSE(L43-128+1,C43,D43,E43,F43),L43))),IF(3=3,MOD(C43,(IF(L43&gt;=128,CHOOSE(L43-128+1,C43,D43,E43,F43),L43))),F43)),IF(J43=13,F43,F43)))))))))))))))</f>
        <v>0</v>
      </c>
      <c r="G44">
        <f t="shared" si="24"/>
        <v>0</v>
      </c>
      <c r="H44">
        <f t="shared" si="25"/>
        <v>0</v>
      </c>
      <c r="I44">
        <f t="shared" si="26"/>
        <v>0</v>
      </c>
      <c r="J44" cm="1">
        <f t="array" ref="J44">INDEX(PROGRAM!$E$2:$E$257, B44+1)</f>
        <v>15</v>
      </c>
      <c r="K44" cm="1">
        <f t="array" ref="K44">INDEX(PROGRAM!$F$2:$F$257, B44+1)</f>
        <v>0</v>
      </c>
      <c r="L44" cm="1">
        <f t="array" ref="L44">INDEX(PROGRAM!$G$2:$G$257, B44+1)</f>
        <v>0</v>
      </c>
      <c r="M44">
        <f t="shared" si="27"/>
        <v>1</v>
      </c>
      <c r="N44">
        <f t="shared" si="28"/>
        <v>0</v>
      </c>
      <c r="O44">
        <f t="shared" si="29"/>
        <v>10</v>
      </c>
      <c r="P44">
        <f t="shared" si="30"/>
        <v>15</v>
      </c>
      <c r="Q44">
        <f t="shared" si="31"/>
        <v>0</v>
      </c>
      <c r="R44">
        <f t="shared" si="32"/>
        <v>0</v>
      </c>
      <c r="S44">
        <f t="shared" si="33"/>
        <v>0</v>
      </c>
      <c r="T44">
        <f t="shared" si="34"/>
        <v>0</v>
      </c>
      <c r="U44">
        <f t="shared" si="35"/>
        <v>5</v>
      </c>
      <c r="V44">
        <f t="shared" si="36"/>
        <v>0</v>
      </c>
      <c r="W44">
        <f t="shared" si="37"/>
        <v>0</v>
      </c>
      <c r="X44">
        <f t="shared" si="38"/>
        <v>3</v>
      </c>
      <c r="Y44">
        <f t="shared" si="39"/>
        <v>0</v>
      </c>
      <c r="Z44">
        <f t="shared" si="40"/>
        <v>0</v>
      </c>
      <c r="AA44">
        <f t="shared" si="41"/>
        <v>0</v>
      </c>
      <c r="AB44">
        <f t="shared" si="42"/>
        <v>0</v>
      </c>
      <c r="AC44">
        <f t="shared" si="43"/>
        <v>0</v>
      </c>
    </row>
    <row r="45" spans="1:29" x14ac:dyDescent="0.2">
      <c r="A45">
        <f t="shared" si="22"/>
        <v>43</v>
      </c>
      <c r="B45">
        <f t="shared" si="23"/>
        <v>4</v>
      </c>
      <c r="C45" cm="1">
        <f t="array" ref="C45">IF(M44=1,C44,IF(J44=15,C44,IF(J44=1,IF(K44=0,L44,C44),IF(J44=2,IF(K44=0,INDEX(N44:AC44,1,L44+1),C44),IF(J44=4,IF(K44=0,CHOOSE(L44+1,C44,D44,E44,F44),C44),IF(J44=5,IF(K44=0,MOD(C44+L44,256),C44),IF(J44=6,IF(K44=0,MOD(C44+CHOOSE(L44+1,C44,D44,E44,F44),256),C44),IF(J44=7,IF(K44=0,MOD(C44-L44,256),C44),IF(J44=8,IF(K44=0,MOD(C44-CHOOSE(L44+1,C44,D44,E44,F44),256),C44),IF(J44=12,IF(K44=0,MOD(C44*(IF(L44&gt;=128,CHOOSE(L44-128+1,C44,D44,E44,F44),L44)),256),C44),IF(J44=14,IF(K44=0,_xlfn.BITAND(C44,(IF(L44&gt;=128,CHOOSE(L44-128+1,C44,D44,E44,F44),L44))),C44),IF(J44=16,IF(K44=0,_xlfn.BITOR(C44,(IF(L44&gt;=128,CHOOSE(L44-128+1,C44,D44,E44,F44),L44))),C44),IF(J44=17,IF(K44=0,_xlfn.BITXOR(C44,(IF(L44&gt;=128,CHOOSE(L44-128+1,C44,D44,E44,F44),L44))),C44),IF(J44=18,IF(0=1,QUOTIENT(C44,(IF(L44&gt;=128,CHOOSE(L44-128+1,C44,D44,E44,F44),L44))),IF(0=3,MOD(C44,(IF(L44&gt;=128,CHOOSE(L44-128+1,C44,D44,E44,F44),L44))),C44)),IF(J44=13,C44,C44)))))))))))))))</f>
        <v>10</v>
      </c>
      <c r="D45" cm="1">
        <f t="array" ref="D45">IF(M44=1,D44,IF(J44=15,D44,IF(J44=1,IF(K44=1,L44,D44),IF(J44=2,IF(K44=1,INDEX(N44:AC44,1,L44+1),D44),IF(J44=4,IF(K44=1,CHOOSE(L44+1,C44,D44,E44,F44),D44),IF(J44=5,IF(K44=1,MOD(D44+L44,256),D44),IF(J44=6,IF(K44=1,MOD(D44+CHOOSE(L44+1,C44,D44,E44,F44),256),D44),IF(J44=7,IF(K44=1,MOD(D44-L44,256),D44),IF(J44=8,IF(K44=1,MOD(D44-CHOOSE(L44+1,C44,D44,E44,F44),256),D44),IF(J44=12,IF(K44=1,MOD(D44*(IF(L44&gt;=128,CHOOSE(L44-128+1,C44,D44,E44,F44),L44)),256),D44),IF(J44=14,IF(K44=1,_xlfn.BITAND(D44,(IF(L44&gt;=128,CHOOSE(L44-128+1,C44,D44,E44,F44),L44))),D44),IF(J44=16,IF(K44=1,_xlfn.BITOR(D44,(IF(L44&gt;=128,CHOOSE(L44-128+1,C44,D44,E44,F44),L44))),D44),IF(J44=17,IF(K44=1,_xlfn.BITXOR(D44,(IF(L44&gt;=128,CHOOSE(L44-128+1,C44,D44,E44,F44),L44))),D44),IF(J44=18,IF(1=1,QUOTIENT(C44,(IF(L44&gt;=128,CHOOSE(L44-128+1,C44,D44,E44,F44),L44))),IF(1=3,MOD(C44,(IF(L44&gt;=128,CHOOSE(L44-128+1,C44,D44,E44,F44),L44))),D44)),IF(J44=13,D44,D44)))))))))))))))</f>
        <v>5</v>
      </c>
      <c r="E45" cm="1">
        <f t="array" ref="E45">IF(M44=1,E44,IF(J44=15,E44,IF(J44=1,IF(K44=2,L44,E44),IF(J44=2,IF(K44=2,INDEX(N44:AC44,1,L44+1),E44),IF(J44=4,IF(K44=2,CHOOSE(L44+1,C44,D44,E44,F44),E44),IF(J44=5,IF(K44=2,MOD(E44+L44,256),E44),IF(J44=6,IF(K44=2,MOD(E44+CHOOSE(L44+1,C44,D44,E44,F44),256),E44),IF(J44=7,IF(K44=2,MOD(E44-L44,256),E44),IF(J44=8,IF(K44=2,MOD(E44-CHOOSE(L44+1,C44,D44,E44,F44),256),E44),IF(J44=12,IF(K44=2,MOD(E44*(IF(L44&gt;=128,CHOOSE(L44-128+1,C44,D44,E44,F44),L44)),256),E44),IF(J44=14,IF(K44=2,_xlfn.BITAND(E44,(IF(L44&gt;=128,CHOOSE(L44-128+1,C44,D44,E44,F44),L44))),E44),IF(J44=16,IF(K44=2,_xlfn.BITOR(E44,(IF(L44&gt;=128,CHOOSE(L44-128+1,C44,D44,E44,F44),L44))),E44),IF(J44=17,IF(K44=2,_xlfn.BITXOR(E44,(IF(L44&gt;=128,CHOOSE(L44-128+1,C44,D44,E44,F44),L44))),E44),IF(J44=18,IF(2=1,QUOTIENT(C44,(IF(L44&gt;=128,CHOOSE(L44-128+1,C44,D44,E44,F44),L44))),IF(2=3,MOD(C44,(IF(L44&gt;=128,CHOOSE(L44-128+1,C44,D44,E44,F44),L44))),E44)),IF(J44=13,MOD(E44-1,256),E44)))))))))))))))</f>
        <v>0</v>
      </c>
      <c r="F45" cm="1">
        <f t="array" ref="F45">IF(M44=1,F44,IF(J44=15,F44,IF(J44=1,IF(K44=3,L44,F44),IF(J44=2,IF(K44=3,INDEX(N44:AC44,1,L44+1),F44),IF(J44=4,IF(K44=3,CHOOSE(L44+1,C44,D44,E44,F44),F44),IF(J44=5,IF(K44=3,MOD(F44+L44,256),F44),IF(J44=6,IF(K44=3,MOD(F44+CHOOSE(L44+1,C44,D44,E44,F44),256),F44),IF(J44=7,IF(K44=3,MOD(F44-L44,256),F44),IF(J44=8,IF(K44=3,MOD(F44-CHOOSE(L44+1,C44,D44,E44,F44),256),F44),IF(J44=12,IF(K44=3,MOD(F44*(IF(L44&gt;=128,CHOOSE(L44-128+1,C44,D44,E44,F44),L44)),256),F44),IF(J44=14,IF(K44=3,_xlfn.BITAND(F44,(IF(L44&gt;=128,CHOOSE(L44-128+1,C44,D44,E44,F44),L44))),F44),IF(J44=16,IF(K44=3,_xlfn.BITOR(F44,(IF(L44&gt;=128,CHOOSE(L44-128+1,C44,D44,E44,F44),L44))),F44),IF(J44=17,IF(K44=3,_xlfn.BITXOR(F44,(IF(L44&gt;=128,CHOOSE(L44-128+1,C44,D44,E44,F44),L44))),F44),IF(J44=18,IF(3=1,QUOTIENT(C44,(IF(L44&gt;=128,CHOOSE(L44-128+1,C44,D44,E44,F44),L44))),IF(3=3,MOD(C44,(IF(L44&gt;=128,CHOOSE(L44-128+1,C44,D44,E44,F44),L44))),F44)),IF(J44=13,F44,F44)))))))))))))))</f>
        <v>0</v>
      </c>
      <c r="G45">
        <f t="shared" si="24"/>
        <v>0</v>
      </c>
      <c r="H45">
        <f t="shared" si="25"/>
        <v>0</v>
      </c>
      <c r="I45">
        <f t="shared" si="26"/>
        <v>0</v>
      </c>
      <c r="J45" cm="1">
        <f t="array" ref="J45">INDEX(PROGRAM!$E$2:$E$257, B45+1)</f>
        <v>15</v>
      </c>
      <c r="K45" cm="1">
        <f t="array" ref="K45">INDEX(PROGRAM!$F$2:$F$257, B45+1)</f>
        <v>0</v>
      </c>
      <c r="L45" cm="1">
        <f t="array" ref="L45">INDEX(PROGRAM!$G$2:$G$257, B45+1)</f>
        <v>0</v>
      </c>
      <c r="M45">
        <f t="shared" si="27"/>
        <v>1</v>
      </c>
      <c r="N45">
        <f t="shared" si="28"/>
        <v>0</v>
      </c>
      <c r="O45">
        <f t="shared" si="29"/>
        <v>10</v>
      </c>
      <c r="P45">
        <f t="shared" si="30"/>
        <v>15</v>
      </c>
      <c r="Q45">
        <f t="shared" si="31"/>
        <v>0</v>
      </c>
      <c r="R45">
        <f t="shared" si="32"/>
        <v>0</v>
      </c>
      <c r="S45">
        <f t="shared" si="33"/>
        <v>0</v>
      </c>
      <c r="T45">
        <f t="shared" si="34"/>
        <v>0</v>
      </c>
      <c r="U45">
        <f t="shared" si="35"/>
        <v>5</v>
      </c>
      <c r="V45">
        <f t="shared" si="36"/>
        <v>0</v>
      </c>
      <c r="W45">
        <f t="shared" si="37"/>
        <v>0</v>
      </c>
      <c r="X45">
        <f t="shared" si="38"/>
        <v>3</v>
      </c>
      <c r="Y45">
        <f t="shared" si="39"/>
        <v>0</v>
      </c>
      <c r="Z45">
        <f t="shared" si="40"/>
        <v>0</v>
      </c>
      <c r="AA45">
        <f t="shared" si="41"/>
        <v>0</v>
      </c>
      <c r="AB45">
        <f t="shared" si="42"/>
        <v>0</v>
      </c>
      <c r="AC45">
        <f t="shared" si="43"/>
        <v>0</v>
      </c>
    </row>
    <row r="46" spans="1:29" x14ac:dyDescent="0.2">
      <c r="A46">
        <f t="shared" si="22"/>
        <v>44</v>
      </c>
      <c r="B46">
        <f t="shared" si="23"/>
        <v>4</v>
      </c>
      <c r="C46" cm="1">
        <f t="array" ref="C46">IF(M45=1,C45,IF(J45=15,C45,IF(J45=1,IF(K45=0,L45,C45),IF(J45=2,IF(K45=0,INDEX(N45:AC45,1,L45+1),C45),IF(J45=4,IF(K45=0,CHOOSE(L45+1,C45,D45,E45,F45),C45),IF(J45=5,IF(K45=0,MOD(C45+L45,256),C45),IF(J45=6,IF(K45=0,MOD(C45+CHOOSE(L45+1,C45,D45,E45,F45),256),C45),IF(J45=7,IF(K45=0,MOD(C45-L45,256),C45),IF(J45=8,IF(K45=0,MOD(C45-CHOOSE(L45+1,C45,D45,E45,F45),256),C45),IF(J45=12,IF(K45=0,MOD(C45*(IF(L45&gt;=128,CHOOSE(L45-128+1,C45,D45,E45,F45),L45)),256),C45),IF(J45=14,IF(K45=0,_xlfn.BITAND(C45,(IF(L45&gt;=128,CHOOSE(L45-128+1,C45,D45,E45,F45),L45))),C45),IF(J45=16,IF(K45=0,_xlfn.BITOR(C45,(IF(L45&gt;=128,CHOOSE(L45-128+1,C45,D45,E45,F45),L45))),C45),IF(J45=17,IF(K45=0,_xlfn.BITXOR(C45,(IF(L45&gt;=128,CHOOSE(L45-128+1,C45,D45,E45,F45),L45))),C45),IF(J45=18,IF(0=1,QUOTIENT(C45,(IF(L45&gt;=128,CHOOSE(L45-128+1,C45,D45,E45,F45),L45))),IF(0=3,MOD(C45,(IF(L45&gt;=128,CHOOSE(L45-128+1,C45,D45,E45,F45),L45))),C45)),IF(J45=13,C45,C45)))))))))))))))</f>
        <v>10</v>
      </c>
      <c r="D46" cm="1">
        <f t="array" ref="D46">IF(M45=1,D45,IF(J45=15,D45,IF(J45=1,IF(K45=1,L45,D45),IF(J45=2,IF(K45=1,INDEX(N45:AC45,1,L45+1),D45),IF(J45=4,IF(K45=1,CHOOSE(L45+1,C45,D45,E45,F45),D45),IF(J45=5,IF(K45=1,MOD(D45+L45,256),D45),IF(J45=6,IF(K45=1,MOD(D45+CHOOSE(L45+1,C45,D45,E45,F45),256),D45),IF(J45=7,IF(K45=1,MOD(D45-L45,256),D45),IF(J45=8,IF(K45=1,MOD(D45-CHOOSE(L45+1,C45,D45,E45,F45),256),D45),IF(J45=12,IF(K45=1,MOD(D45*(IF(L45&gt;=128,CHOOSE(L45-128+1,C45,D45,E45,F45),L45)),256),D45),IF(J45=14,IF(K45=1,_xlfn.BITAND(D45,(IF(L45&gt;=128,CHOOSE(L45-128+1,C45,D45,E45,F45),L45))),D45),IF(J45=16,IF(K45=1,_xlfn.BITOR(D45,(IF(L45&gt;=128,CHOOSE(L45-128+1,C45,D45,E45,F45),L45))),D45),IF(J45=17,IF(K45=1,_xlfn.BITXOR(D45,(IF(L45&gt;=128,CHOOSE(L45-128+1,C45,D45,E45,F45),L45))),D45),IF(J45=18,IF(1=1,QUOTIENT(C45,(IF(L45&gt;=128,CHOOSE(L45-128+1,C45,D45,E45,F45),L45))),IF(1=3,MOD(C45,(IF(L45&gt;=128,CHOOSE(L45-128+1,C45,D45,E45,F45),L45))),D45)),IF(J45=13,D45,D45)))))))))))))))</f>
        <v>5</v>
      </c>
      <c r="E46" cm="1">
        <f t="array" ref="E46">IF(M45=1,E45,IF(J45=15,E45,IF(J45=1,IF(K45=2,L45,E45),IF(J45=2,IF(K45=2,INDEX(N45:AC45,1,L45+1),E45),IF(J45=4,IF(K45=2,CHOOSE(L45+1,C45,D45,E45,F45),E45),IF(J45=5,IF(K45=2,MOD(E45+L45,256),E45),IF(J45=6,IF(K45=2,MOD(E45+CHOOSE(L45+1,C45,D45,E45,F45),256),E45),IF(J45=7,IF(K45=2,MOD(E45-L45,256),E45),IF(J45=8,IF(K45=2,MOD(E45-CHOOSE(L45+1,C45,D45,E45,F45),256),E45),IF(J45=12,IF(K45=2,MOD(E45*(IF(L45&gt;=128,CHOOSE(L45-128+1,C45,D45,E45,F45),L45)),256),E45),IF(J45=14,IF(K45=2,_xlfn.BITAND(E45,(IF(L45&gt;=128,CHOOSE(L45-128+1,C45,D45,E45,F45),L45))),E45),IF(J45=16,IF(K45=2,_xlfn.BITOR(E45,(IF(L45&gt;=128,CHOOSE(L45-128+1,C45,D45,E45,F45),L45))),E45),IF(J45=17,IF(K45=2,_xlfn.BITXOR(E45,(IF(L45&gt;=128,CHOOSE(L45-128+1,C45,D45,E45,F45),L45))),E45),IF(J45=18,IF(2=1,QUOTIENT(C45,(IF(L45&gt;=128,CHOOSE(L45-128+1,C45,D45,E45,F45),L45))),IF(2=3,MOD(C45,(IF(L45&gt;=128,CHOOSE(L45-128+1,C45,D45,E45,F45),L45))),E45)),IF(J45=13,MOD(E45-1,256),E45)))))))))))))))</f>
        <v>0</v>
      </c>
      <c r="F46" cm="1">
        <f t="array" ref="F46">IF(M45=1,F45,IF(J45=15,F45,IF(J45=1,IF(K45=3,L45,F45),IF(J45=2,IF(K45=3,INDEX(N45:AC45,1,L45+1),F45),IF(J45=4,IF(K45=3,CHOOSE(L45+1,C45,D45,E45,F45),F45),IF(J45=5,IF(K45=3,MOD(F45+L45,256),F45),IF(J45=6,IF(K45=3,MOD(F45+CHOOSE(L45+1,C45,D45,E45,F45),256),F45),IF(J45=7,IF(K45=3,MOD(F45-L45,256),F45),IF(J45=8,IF(K45=3,MOD(F45-CHOOSE(L45+1,C45,D45,E45,F45),256),F45),IF(J45=12,IF(K45=3,MOD(F45*(IF(L45&gt;=128,CHOOSE(L45-128+1,C45,D45,E45,F45),L45)),256),F45),IF(J45=14,IF(K45=3,_xlfn.BITAND(F45,(IF(L45&gt;=128,CHOOSE(L45-128+1,C45,D45,E45,F45),L45))),F45),IF(J45=16,IF(K45=3,_xlfn.BITOR(F45,(IF(L45&gt;=128,CHOOSE(L45-128+1,C45,D45,E45,F45),L45))),F45),IF(J45=17,IF(K45=3,_xlfn.BITXOR(F45,(IF(L45&gt;=128,CHOOSE(L45-128+1,C45,D45,E45,F45),L45))),F45),IF(J45=18,IF(3=1,QUOTIENT(C45,(IF(L45&gt;=128,CHOOSE(L45-128+1,C45,D45,E45,F45),L45))),IF(3=3,MOD(C45,(IF(L45&gt;=128,CHOOSE(L45-128+1,C45,D45,E45,F45),L45))),F45)),IF(J45=13,F45,F45)))))))))))))))</f>
        <v>0</v>
      </c>
      <c r="G46">
        <f t="shared" si="24"/>
        <v>0</v>
      </c>
      <c r="H46">
        <f t="shared" si="25"/>
        <v>0</v>
      </c>
      <c r="I46">
        <f t="shared" si="26"/>
        <v>0</v>
      </c>
      <c r="J46" cm="1">
        <f t="array" ref="J46">INDEX(PROGRAM!$E$2:$E$257, B46+1)</f>
        <v>15</v>
      </c>
      <c r="K46" cm="1">
        <f t="array" ref="K46">INDEX(PROGRAM!$F$2:$F$257, B46+1)</f>
        <v>0</v>
      </c>
      <c r="L46" cm="1">
        <f t="array" ref="L46">INDEX(PROGRAM!$G$2:$G$257, B46+1)</f>
        <v>0</v>
      </c>
      <c r="M46">
        <f t="shared" si="27"/>
        <v>1</v>
      </c>
      <c r="N46">
        <f t="shared" si="28"/>
        <v>0</v>
      </c>
      <c r="O46">
        <f t="shared" si="29"/>
        <v>10</v>
      </c>
      <c r="P46">
        <f t="shared" si="30"/>
        <v>15</v>
      </c>
      <c r="Q46">
        <f t="shared" si="31"/>
        <v>0</v>
      </c>
      <c r="R46">
        <f t="shared" si="32"/>
        <v>0</v>
      </c>
      <c r="S46">
        <f t="shared" si="33"/>
        <v>0</v>
      </c>
      <c r="T46">
        <f t="shared" si="34"/>
        <v>0</v>
      </c>
      <c r="U46">
        <f t="shared" si="35"/>
        <v>5</v>
      </c>
      <c r="V46">
        <f t="shared" si="36"/>
        <v>0</v>
      </c>
      <c r="W46">
        <f t="shared" si="37"/>
        <v>0</v>
      </c>
      <c r="X46">
        <f t="shared" si="38"/>
        <v>3</v>
      </c>
      <c r="Y46">
        <f t="shared" si="39"/>
        <v>0</v>
      </c>
      <c r="Z46">
        <f t="shared" si="40"/>
        <v>0</v>
      </c>
      <c r="AA46">
        <f t="shared" si="41"/>
        <v>0</v>
      </c>
      <c r="AB46">
        <f t="shared" si="42"/>
        <v>0</v>
      </c>
      <c r="AC46">
        <f t="shared" si="43"/>
        <v>0</v>
      </c>
    </row>
    <row r="47" spans="1:29" x14ac:dyDescent="0.2">
      <c r="A47">
        <f t="shared" si="22"/>
        <v>45</v>
      </c>
      <c r="B47">
        <f t="shared" si="23"/>
        <v>4</v>
      </c>
      <c r="C47" cm="1">
        <f t="array" ref="C47">IF(M46=1,C46,IF(J46=15,C46,IF(J46=1,IF(K46=0,L46,C46),IF(J46=2,IF(K46=0,INDEX(N46:AC46,1,L46+1),C46),IF(J46=4,IF(K46=0,CHOOSE(L46+1,C46,D46,E46,F46),C46),IF(J46=5,IF(K46=0,MOD(C46+L46,256),C46),IF(J46=6,IF(K46=0,MOD(C46+CHOOSE(L46+1,C46,D46,E46,F46),256),C46),IF(J46=7,IF(K46=0,MOD(C46-L46,256),C46),IF(J46=8,IF(K46=0,MOD(C46-CHOOSE(L46+1,C46,D46,E46,F46),256),C46),IF(J46=12,IF(K46=0,MOD(C46*(IF(L46&gt;=128,CHOOSE(L46-128+1,C46,D46,E46,F46),L46)),256),C46),IF(J46=14,IF(K46=0,_xlfn.BITAND(C46,(IF(L46&gt;=128,CHOOSE(L46-128+1,C46,D46,E46,F46),L46))),C46),IF(J46=16,IF(K46=0,_xlfn.BITOR(C46,(IF(L46&gt;=128,CHOOSE(L46-128+1,C46,D46,E46,F46),L46))),C46),IF(J46=17,IF(K46=0,_xlfn.BITXOR(C46,(IF(L46&gt;=128,CHOOSE(L46-128+1,C46,D46,E46,F46),L46))),C46),IF(J46=18,IF(0=1,QUOTIENT(C46,(IF(L46&gt;=128,CHOOSE(L46-128+1,C46,D46,E46,F46),L46))),IF(0=3,MOD(C46,(IF(L46&gt;=128,CHOOSE(L46-128+1,C46,D46,E46,F46),L46))),C46)),IF(J46=13,C46,C46)))))))))))))))</f>
        <v>10</v>
      </c>
      <c r="D47" cm="1">
        <f t="array" ref="D47">IF(M46=1,D46,IF(J46=15,D46,IF(J46=1,IF(K46=1,L46,D46),IF(J46=2,IF(K46=1,INDEX(N46:AC46,1,L46+1),D46),IF(J46=4,IF(K46=1,CHOOSE(L46+1,C46,D46,E46,F46),D46),IF(J46=5,IF(K46=1,MOD(D46+L46,256),D46),IF(J46=6,IF(K46=1,MOD(D46+CHOOSE(L46+1,C46,D46,E46,F46),256),D46),IF(J46=7,IF(K46=1,MOD(D46-L46,256),D46),IF(J46=8,IF(K46=1,MOD(D46-CHOOSE(L46+1,C46,D46,E46,F46),256),D46),IF(J46=12,IF(K46=1,MOD(D46*(IF(L46&gt;=128,CHOOSE(L46-128+1,C46,D46,E46,F46),L46)),256),D46),IF(J46=14,IF(K46=1,_xlfn.BITAND(D46,(IF(L46&gt;=128,CHOOSE(L46-128+1,C46,D46,E46,F46),L46))),D46),IF(J46=16,IF(K46=1,_xlfn.BITOR(D46,(IF(L46&gt;=128,CHOOSE(L46-128+1,C46,D46,E46,F46),L46))),D46),IF(J46=17,IF(K46=1,_xlfn.BITXOR(D46,(IF(L46&gt;=128,CHOOSE(L46-128+1,C46,D46,E46,F46),L46))),D46),IF(J46=18,IF(1=1,QUOTIENT(C46,(IF(L46&gt;=128,CHOOSE(L46-128+1,C46,D46,E46,F46),L46))),IF(1=3,MOD(C46,(IF(L46&gt;=128,CHOOSE(L46-128+1,C46,D46,E46,F46),L46))),D46)),IF(J46=13,D46,D46)))))))))))))))</f>
        <v>5</v>
      </c>
      <c r="E47" cm="1">
        <f t="array" ref="E47">IF(M46=1,E46,IF(J46=15,E46,IF(J46=1,IF(K46=2,L46,E46),IF(J46=2,IF(K46=2,INDEX(N46:AC46,1,L46+1),E46),IF(J46=4,IF(K46=2,CHOOSE(L46+1,C46,D46,E46,F46),E46),IF(J46=5,IF(K46=2,MOD(E46+L46,256),E46),IF(J46=6,IF(K46=2,MOD(E46+CHOOSE(L46+1,C46,D46,E46,F46),256),E46),IF(J46=7,IF(K46=2,MOD(E46-L46,256),E46),IF(J46=8,IF(K46=2,MOD(E46-CHOOSE(L46+1,C46,D46,E46,F46),256),E46),IF(J46=12,IF(K46=2,MOD(E46*(IF(L46&gt;=128,CHOOSE(L46-128+1,C46,D46,E46,F46),L46)),256),E46),IF(J46=14,IF(K46=2,_xlfn.BITAND(E46,(IF(L46&gt;=128,CHOOSE(L46-128+1,C46,D46,E46,F46),L46))),E46),IF(J46=16,IF(K46=2,_xlfn.BITOR(E46,(IF(L46&gt;=128,CHOOSE(L46-128+1,C46,D46,E46,F46),L46))),E46),IF(J46=17,IF(K46=2,_xlfn.BITXOR(E46,(IF(L46&gt;=128,CHOOSE(L46-128+1,C46,D46,E46,F46),L46))),E46),IF(J46=18,IF(2=1,QUOTIENT(C46,(IF(L46&gt;=128,CHOOSE(L46-128+1,C46,D46,E46,F46),L46))),IF(2=3,MOD(C46,(IF(L46&gt;=128,CHOOSE(L46-128+1,C46,D46,E46,F46),L46))),E46)),IF(J46=13,MOD(E46-1,256),E46)))))))))))))))</f>
        <v>0</v>
      </c>
      <c r="F47" cm="1">
        <f t="array" ref="F47">IF(M46=1,F46,IF(J46=15,F46,IF(J46=1,IF(K46=3,L46,F46),IF(J46=2,IF(K46=3,INDEX(N46:AC46,1,L46+1),F46),IF(J46=4,IF(K46=3,CHOOSE(L46+1,C46,D46,E46,F46),F46),IF(J46=5,IF(K46=3,MOD(F46+L46,256),F46),IF(J46=6,IF(K46=3,MOD(F46+CHOOSE(L46+1,C46,D46,E46,F46),256),F46),IF(J46=7,IF(K46=3,MOD(F46-L46,256),F46),IF(J46=8,IF(K46=3,MOD(F46-CHOOSE(L46+1,C46,D46,E46,F46),256),F46),IF(J46=12,IF(K46=3,MOD(F46*(IF(L46&gt;=128,CHOOSE(L46-128+1,C46,D46,E46,F46),L46)),256),F46),IF(J46=14,IF(K46=3,_xlfn.BITAND(F46,(IF(L46&gt;=128,CHOOSE(L46-128+1,C46,D46,E46,F46),L46))),F46),IF(J46=16,IF(K46=3,_xlfn.BITOR(F46,(IF(L46&gt;=128,CHOOSE(L46-128+1,C46,D46,E46,F46),L46))),F46),IF(J46=17,IF(K46=3,_xlfn.BITXOR(F46,(IF(L46&gt;=128,CHOOSE(L46-128+1,C46,D46,E46,F46),L46))),F46),IF(J46=18,IF(3=1,QUOTIENT(C46,(IF(L46&gt;=128,CHOOSE(L46-128+1,C46,D46,E46,F46),L46))),IF(3=3,MOD(C46,(IF(L46&gt;=128,CHOOSE(L46-128+1,C46,D46,E46,F46),L46))),F46)),IF(J46=13,F46,F46)))))))))))))))</f>
        <v>0</v>
      </c>
      <c r="G47">
        <f t="shared" si="24"/>
        <v>0</v>
      </c>
      <c r="H47">
        <f t="shared" si="25"/>
        <v>0</v>
      </c>
      <c r="I47">
        <f t="shared" si="26"/>
        <v>0</v>
      </c>
      <c r="J47" cm="1">
        <f t="array" ref="J47">INDEX(PROGRAM!$E$2:$E$257, B47+1)</f>
        <v>15</v>
      </c>
      <c r="K47" cm="1">
        <f t="array" ref="K47">INDEX(PROGRAM!$F$2:$F$257, B47+1)</f>
        <v>0</v>
      </c>
      <c r="L47" cm="1">
        <f t="array" ref="L47">INDEX(PROGRAM!$G$2:$G$257, B47+1)</f>
        <v>0</v>
      </c>
      <c r="M47">
        <f t="shared" si="27"/>
        <v>1</v>
      </c>
      <c r="N47">
        <f t="shared" si="28"/>
        <v>0</v>
      </c>
      <c r="O47">
        <f t="shared" si="29"/>
        <v>10</v>
      </c>
      <c r="P47">
        <f t="shared" si="30"/>
        <v>15</v>
      </c>
      <c r="Q47">
        <f t="shared" si="31"/>
        <v>0</v>
      </c>
      <c r="R47">
        <f t="shared" si="32"/>
        <v>0</v>
      </c>
      <c r="S47">
        <f t="shared" si="33"/>
        <v>0</v>
      </c>
      <c r="T47">
        <f t="shared" si="34"/>
        <v>0</v>
      </c>
      <c r="U47">
        <f t="shared" si="35"/>
        <v>5</v>
      </c>
      <c r="V47">
        <f t="shared" si="36"/>
        <v>0</v>
      </c>
      <c r="W47">
        <f t="shared" si="37"/>
        <v>0</v>
      </c>
      <c r="X47">
        <f t="shared" si="38"/>
        <v>3</v>
      </c>
      <c r="Y47">
        <f t="shared" si="39"/>
        <v>0</v>
      </c>
      <c r="Z47">
        <f t="shared" si="40"/>
        <v>0</v>
      </c>
      <c r="AA47">
        <f t="shared" si="41"/>
        <v>0</v>
      </c>
      <c r="AB47">
        <f t="shared" si="42"/>
        <v>0</v>
      </c>
      <c r="AC47">
        <f t="shared" si="43"/>
        <v>0</v>
      </c>
    </row>
    <row r="48" spans="1:29" x14ac:dyDescent="0.2">
      <c r="A48">
        <f t="shared" si="22"/>
        <v>46</v>
      </c>
      <c r="B48">
        <f t="shared" si="23"/>
        <v>4</v>
      </c>
      <c r="C48" cm="1">
        <f t="array" ref="C48">IF(M47=1,C47,IF(J47=15,C47,IF(J47=1,IF(K47=0,L47,C47),IF(J47=2,IF(K47=0,INDEX(N47:AC47,1,L47+1),C47),IF(J47=4,IF(K47=0,CHOOSE(L47+1,C47,D47,E47,F47),C47),IF(J47=5,IF(K47=0,MOD(C47+L47,256),C47),IF(J47=6,IF(K47=0,MOD(C47+CHOOSE(L47+1,C47,D47,E47,F47),256),C47),IF(J47=7,IF(K47=0,MOD(C47-L47,256),C47),IF(J47=8,IF(K47=0,MOD(C47-CHOOSE(L47+1,C47,D47,E47,F47),256),C47),IF(J47=12,IF(K47=0,MOD(C47*(IF(L47&gt;=128,CHOOSE(L47-128+1,C47,D47,E47,F47),L47)),256),C47),IF(J47=14,IF(K47=0,_xlfn.BITAND(C47,(IF(L47&gt;=128,CHOOSE(L47-128+1,C47,D47,E47,F47),L47))),C47),IF(J47=16,IF(K47=0,_xlfn.BITOR(C47,(IF(L47&gt;=128,CHOOSE(L47-128+1,C47,D47,E47,F47),L47))),C47),IF(J47=17,IF(K47=0,_xlfn.BITXOR(C47,(IF(L47&gt;=128,CHOOSE(L47-128+1,C47,D47,E47,F47),L47))),C47),IF(J47=18,IF(0=1,QUOTIENT(C47,(IF(L47&gt;=128,CHOOSE(L47-128+1,C47,D47,E47,F47),L47))),IF(0=3,MOD(C47,(IF(L47&gt;=128,CHOOSE(L47-128+1,C47,D47,E47,F47),L47))),C47)),IF(J47=13,C47,C47)))))))))))))))</f>
        <v>10</v>
      </c>
      <c r="D48" cm="1">
        <f t="array" ref="D48">IF(M47=1,D47,IF(J47=15,D47,IF(J47=1,IF(K47=1,L47,D47),IF(J47=2,IF(K47=1,INDEX(N47:AC47,1,L47+1),D47),IF(J47=4,IF(K47=1,CHOOSE(L47+1,C47,D47,E47,F47),D47),IF(J47=5,IF(K47=1,MOD(D47+L47,256),D47),IF(J47=6,IF(K47=1,MOD(D47+CHOOSE(L47+1,C47,D47,E47,F47),256),D47),IF(J47=7,IF(K47=1,MOD(D47-L47,256),D47),IF(J47=8,IF(K47=1,MOD(D47-CHOOSE(L47+1,C47,D47,E47,F47),256),D47),IF(J47=12,IF(K47=1,MOD(D47*(IF(L47&gt;=128,CHOOSE(L47-128+1,C47,D47,E47,F47),L47)),256),D47),IF(J47=14,IF(K47=1,_xlfn.BITAND(D47,(IF(L47&gt;=128,CHOOSE(L47-128+1,C47,D47,E47,F47),L47))),D47),IF(J47=16,IF(K47=1,_xlfn.BITOR(D47,(IF(L47&gt;=128,CHOOSE(L47-128+1,C47,D47,E47,F47),L47))),D47),IF(J47=17,IF(K47=1,_xlfn.BITXOR(D47,(IF(L47&gt;=128,CHOOSE(L47-128+1,C47,D47,E47,F47),L47))),D47),IF(J47=18,IF(1=1,QUOTIENT(C47,(IF(L47&gt;=128,CHOOSE(L47-128+1,C47,D47,E47,F47),L47))),IF(1=3,MOD(C47,(IF(L47&gt;=128,CHOOSE(L47-128+1,C47,D47,E47,F47),L47))),D47)),IF(J47=13,D47,D47)))))))))))))))</f>
        <v>5</v>
      </c>
      <c r="E48" cm="1">
        <f t="array" ref="E48">IF(M47=1,E47,IF(J47=15,E47,IF(J47=1,IF(K47=2,L47,E47),IF(J47=2,IF(K47=2,INDEX(N47:AC47,1,L47+1),E47),IF(J47=4,IF(K47=2,CHOOSE(L47+1,C47,D47,E47,F47),E47),IF(J47=5,IF(K47=2,MOD(E47+L47,256),E47),IF(J47=6,IF(K47=2,MOD(E47+CHOOSE(L47+1,C47,D47,E47,F47),256),E47),IF(J47=7,IF(K47=2,MOD(E47-L47,256),E47),IF(J47=8,IF(K47=2,MOD(E47-CHOOSE(L47+1,C47,D47,E47,F47),256),E47),IF(J47=12,IF(K47=2,MOD(E47*(IF(L47&gt;=128,CHOOSE(L47-128+1,C47,D47,E47,F47),L47)),256),E47),IF(J47=14,IF(K47=2,_xlfn.BITAND(E47,(IF(L47&gt;=128,CHOOSE(L47-128+1,C47,D47,E47,F47),L47))),E47),IF(J47=16,IF(K47=2,_xlfn.BITOR(E47,(IF(L47&gt;=128,CHOOSE(L47-128+1,C47,D47,E47,F47),L47))),E47),IF(J47=17,IF(K47=2,_xlfn.BITXOR(E47,(IF(L47&gt;=128,CHOOSE(L47-128+1,C47,D47,E47,F47),L47))),E47),IF(J47=18,IF(2=1,QUOTIENT(C47,(IF(L47&gt;=128,CHOOSE(L47-128+1,C47,D47,E47,F47),L47))),IF(2=3,MOD(C47,(IF(L47&gt;=128,CHOOSE(L47-128+1,C47,D47,E47,F47),L47))),E47)),IF(J47=13,MOD(E47-1,256),E47)))))))))))))))</f>
        <v>0</v>
      </c>
      <c r="F48" cm="1">
        <f t="array" ref="F48">IF(M47=1,F47,IF(J47=15,F47,IF(J47=1,IF(K47=3,L47,F47),IF(J47=2,IF(K47=3,INDEX(N47:AC47,1,L47+1),F47),IF(J47=4,IF(K47=3,CHOOSE(L47+1,C47,D47,E47,F47),F47),IF(J47=5,IF(K47=3,MOD(F47+L47,256),F47),IF(J47=6,IF(K47=3,MOD(F47+CHOOSE(L47+1,C47,D47,E47,F47),256),F47),IF(J47=7,IF(K47=3,MOD(F47-L47,256),F47),IF(J47=8,IF(K47=3,MOD(F47-CHOOSE(L47+1,C47,D47,E47,F47),256),F47),IF(J47=12,IF(K47=3,MOD(F47*(IF(L47&gt;=128,CHOOSE(L47-128+1,C47,D47,E47,F47),L47)),256),F47),IF(J47=14,IF(K47=3,_xlfn.BITAND(F47,(IF(L47&gt;=128,CHOOSE(L47-128+1,C47,D47,E47,F47),L47))),F47),IF(J47=16,IF(K47=3,_xlfn.BITOR(F47,(IF(L47&gt;=128,CHOOSE(L47-128+1,C47,D47,E47,F47),L47))),F47),IF(J47=17,IF(K47=3,_xlfn.BITXOR(F47,(IF(L47&gt;=128,CHOOSE(L47-128+1,C47,D47,E47,F47),L47))),F47),IF(J47=18,IF(3=1,QUOTIENT(C47,(IF(L47&gt;=128,CHOOSE(L47-128+1,C47,D47,E47,F47),L47))),IF(3=3,MOD(C47,(IF(L47&gt;=128,CHOOSE(L47-128+1,C47,D47,E47,F47),L47))),F47)),IF(J47=13,F47,F47)))))))))))))))</f>
        <v>0</v>
      </c>
      <c r="G48">
        <f t="shared" si="24"/>
        <v>0</v>
      </c>
      <c r="H48">
        <f t="shared" si="25"/>
        <v>0</v>
      </c>
      <c r="I48">
        <f t="shared" si="26"/>
        <v>0</v>
      </c>
      <c r="J48" cm="1">
        <f t="array" ref="J48">INDEX(PROGRAM!$E$2:$E$257, B48+1)</f>
        <v>15</v>
      </c>
      <c r="K48" cm="1">
        <f t="array" ref="K48">INDEX(PROGRAM!$F$2:$F$257, B48+1)</f>
        <v>0</v>
      </c>
      <c r="L48" cm="1">
        <f t="array" ref="L48">INDEX(PROGRAM!$G$2:$G$257, B48+1)</f>
        <v>0</v>
      </c>
      <c r="M48">
        <f t="shared" si="27"/>
        <v>1</v>
      </c>
      <c r="N48">
        <f t="shared" si="28"/>
        <v>0</v>
      </c>
      <c r="O48">
        <f t="shared" si="29"/>
        <v>10</v>
      </c>
      <c r="P48">
        <f t="shared" si="30"/>
        <v>15</v>
      </c>
      <c r="Q48">
        <f t="shared" si="31"/>
        <v>0</v>
      </c>
      <c r="R48">
        <f t="shared" si="32"/>
        <v>0</v>
      </c>
      <c r="S48">
        <f t="shared" si="33"/>
        <v>0</v>
      </c>
      <c r="T48">
        <f t="shared" si="34"/>
        <v>0</v>
      </c>
      <c r="U48">
        <f t="shared" si="35"/>
        <v>5</v>
      </c>
      <c r="V48">
        <f t="shared" si="36"/>
        <v>0</v>
      </c>
      <c r="W48">
        <f t="shared" si="37"/>
        <v>0</v>
      </c>
      <c r="X48">
        <f t="shared" si="38"/>
        <v>3</v>
      </c>
      <c r="Y48">
        <f t="shared" si="39"/>
        <v>0</v>
      </c>
      <c r="Z48">
        <f t="shared" si="40"/>
        <v>0</v>
      </c>
      <c r="AA48">
        <f t="shared" si="41"/>
        <v>0</v>
      </c>
      <c r="AB48">
        <f t="shared" si="42"/>
        <v>0</v>
      </c>
      <c r="AC48">
        <f t="shared" si="43"/>
        <v>0</v>
      </c>
    </row>
    <row r="49" spans="1:29" x14ac:dyDescent="0.2">
      <c r="A49">
        <f t="shared" si="22"/>
        <v>47</v>
      </c>
      <c r="B49">
        <f t="shared" si="23"/>
        <v>4</v>
      </c>
      <c r="C49" cm="1">
        <f t="array" ref="C49">IF(M48=1,C48,IF(J48=15,C48,IF(J48=1,IF(K48=0,L48,C48),IF(J48=2,IF(K48=0,INDEX(N48:AC48,1,L48+1),C48),IF(J48=4,IF(K48=0,CHOOSE(L48+1,C48,D48,E48,F48),C48),IF(J48=5,IF(K48=0,MOD(C48+L48,256),C48),IF(J48=6,IF(K48=0,MOD(C48+CHOOSE(L48+1,C48,D48,E48,F48),256),C48),IF(J48=7,IF(K48=0,MOD(C48-L48,256),C48),IF(J48=8,IF(K48=0,MOD(C48-CHOOSE(L48+1,C48,D48,E48,F48),256),C48),IF(J48=12,IF(K48=0,MOD(C48*(IF(L48&gt;=128,CHOOSE(L48-128+1,C48,D48,E48,F48),L48)),256),C48),IF(J48=14,IF(K48=0,_xlfn.BITAND(C48,(IF(L48&gt;=128,CHOOSE(L48-128+1,C48,D48,E48,F48),L48))),C48),IF(J48=16,IF(K48=0,_xlfn.BITOR(C48,(IF(L48&gt;=128,CHOOSE(L48-128+1,C48,D48,E48,F48),L48))),C48),IF(J48=17,IF(K48=0,_xlfn.BITXOR(C48,(IF(L48&gt;=128,CHOOSE(L48-128+1,C48,D48,E48,F48),L48))),C48),IF(J48=18,IF(0=1,QUOTIENT(C48,(IF(L48&gt;=128,CHOOSE(L48-128+1,C48,D48,E48,F48),L48))),IF(0=3,MOD(C48,(IF(L48&gt;=128,CHOOSE(L48-128+1,C48,D48,E48,F48),L48))),C48)),IF(J48=13,C48,C48)))))))))))))))</f>
        <v>10</v>
      </c>
      <c r="D49" cm="1">
        <f t="array" ref="D49">IF(M48=1,D48,IF(J48=15,D48,IF(J48=1,IF(K48=1,L48,D48),IF(J48=2,IF(K48=1,INDEX(N48:AC48,1,L48+1),D48),IF(J48=4,IF(K48=1,CHOOSE(L48+1,C48,D48,E48,F48),D48),IF(J48=5,IF(K48=1,MOD(D48+L48,256),D48),IF(J48=6,IF(K48=1,MOD(D48+CHOOSE(L48+1,C48,D48,E48,F48),256),D48),IF(J48=7,IF(K48=1,MOD(D48-L48,256),D48),IF(J48=8,IF(K48=1,MOD(D48-CHOOSE(L48+1,C48,D48,E48,F48),256),D48),IF(J48=12,IF(K48=1,MOD(D48*(IF(L48&gt;=128,CHOOSE(L48-128+1,C48,D48,E48,F48),L48)),256),D48),IF(J48=14,IF(K48=1,_xlfn.BITAND(D48,(IF(L48&gt;=128,CHOOSE(L48-128+1,C48,D48,E48,F48),L48))),D48),IF(J48=16,IF(K48=1,_xlfn.BITOR(D48,(IF(L48&gt;=128,CHOOSE(L48-128+1,C48,D48,E48,F48),L48))),D48),IF(J48=17,IF(K48=1,_xlfn.BITXOR(D48,(IF(L48&gt;=128,CHOOSE(L48-128+1,C48,D48,E48,F48),L48))),D48),IF(J48=18,IF(1=1,QUOTIENT(C48,(IF(L48&gt;=128,CHOOSE(L48-128+1,C48,D48,E48,F48),L48))),IF(1=3,MOD(C48,(IF(L48&gt;=128,CHOOSE(L48-128+1,C48,D48,E48,F48),L48))),D48)),IF(J48=13,D48,D48)))))))))))))))</f>
        <v>5</v>
      </c>
      <c r="E49" cm="1">
        <f t="array" ref="E49">IF(M48=1,E48,IF(J48=15,E48,IF(J48=1,IF(K48=2,L48,E48),IF(J48=2,IF(K48=2,INDEX(N48:AC48,1,L48+1),E48),IF(J48=4,IF(K48=2,CHOOSE(L48+1,C48,D48,E48,F48),E48),IF(J48=5,IF(K48=2,MOD(E48+L48,256),E48),IF(J48=6,IF(K48=2,MOD(E48+CHOOSE(L48+1,C48,D48,E48,F48),256),E48),IF(J48=7,IF(K48=2,MOD(E48-L48,256),E48),IF(J48=8,IF(K48=2,MOD(E48-CHOOSE(L48+1,C48,D48,E48,F48),256),E48),IF(J48=12,IF(K48=2,MOD(E48*(IF(L48&gt;=128,CHOOSE(L48-128+1,C48,D48,E48,F48),L48)),256),E48),IF(J48=14,IF(K48=2,_xlfn.BITAND(E48,(IF(L48&gt;=128,CHOOSE(L48-128+1,C48,D48,E48,F48),L48))),E48),IF(J48=16,IF(K48=2,_xlfn.BITOR(E48,(IF(L48&gt;=128,CHOOSE(L48-128+1,C48,D48,E48,F48),L48))),E48),IF(J48=17,IF(K48=2,_xlfn.BITXOR(E48,(IF(L48&gt;=128,CHOOSE(L48-128+1,C48,D48,E48,F48),L48))),E48),IF(J48=18,IF(2=1,QUOTIENT(C48,(IF(L48&gt;=128,CHOOSE(L48-128+1,C48,D48,E48,F48),L48))),IF(2=3,MOD(C48,(IF(L48&gt;=128,CHOOSE(L48-128+1,C48,D48,E48,F48),L48))),E48)),IF(J48=13,MOD(E48-1,256),E48)))))))))))))))</f>
        <v>0</v>
      </c>
      <c r="F49" cm="1">
        <f t="array" ref="F49">IF(M48=1,F48,IF(J48=15,F48,IF(J48=1,IF(K48=3,L48,F48),IF(J48=2,IF(K48=3,INDEX(N48:AC48,1,L48+1),F48),IF(J48=4,IF(K48=3,CHOOSE(L48+1,C48,D48,E48,F48),F48),IF(J48=5,IF(K48=3,MOD(F48+L48,256),F48),IF(J48=6,IF(K48=3,MOD(F48+CHOOSE(L48+1,C48,D48,E48,F48),256),F48),IF(J48=7,IF(K48=3,MOD(F48-L48,256),F48),IF(J48=8,IF(K48=3,MOD(F48-CHOOSE(L48+1,C48,D48,E48,F48),256),F48),IF(J48=12,IF(K48=3,MOD(F48*(IF(L48&gt;=128,CHOOSE(L48-128+1,C48,D48,E48,F48),L48)),256),F48),IF(J48=14,IF(K48=3,_xlfn.BITAND(F48,(IF(L48&gt;=128,CHOOSE(L48-128+1,C48,D48,E48,F48),L48))),F48),IF(J48=16,IF(K48=3,_xlfn.BITOR(F48,(IF(L48&gt;=128,CHOOSE(L48-128+1,C48,D48,E48,F48),L48))),F48),IF(J48=17,IF(K48=3,_xlfn.BITXOR(F48,(IF(L48&gt;=128,CHOOSE(L48-128+1,C48,D48,E48,F48),L48))),F48),IF(J48=18,IF(3=1,QUOTIENT(C48,(IF(L48&gt;=128,CHOOSE(L48-128+1,C48,D48,E48,F48),L48))),IF(3=3,MOD(C48,(IF(L48&gt;=128,CHOOSE(L48-128+1,C48,D48,E48,F48),L48))),F48)),IF(J48=13,F48,F48)))))))))))))))</f>
        <v>0</v>
      </c>
      <c r="G49">
        <f t="shared" si="24"/>
        <v>0</v>
      </c>
      <c r="H49">
        <f t="shared" si="25"/>
        <v>0</v>
      </c>
      <c r="I49">
        <f t="shared" si="26"/>
        <v>0</v>
      </c>
      <c r="J49" cm="1">
        <f t="array" ref="J49">INDEX(PROGRAM!$E$2:$E$257, B49+1)</f>
        <v>15</v>
      </c>
      <c r="K49" cm="1">
        <f t="array" ref="K49">INDEX(PROGRAM!$F$2:$F$257, B49+1)</f>
        <v>0</v>
      </c>
      <c r="L49" cm="1">
        <f t="array" ref="L49">INDEX(PROGRAM!$G$2:$G$257, B49+1)</f>
        <v>0</v>
      </c>
      <c r="M49">
        <f t="shared" si="27"/>
        <v>1</v>
      </c>
      <c r="N49">
        <f t="shared" si="28"/>
        <v>0</v>
      </c>
      <c r="O49">
        <f t="shared" si="29"/>
        <v>10</v>
      </c>
      <c r="P49">
        <f t="shared" si="30"/>
        <v>15</v>
      </c>
      <c r="Q49">
        <f t="shared" si="31"/>
        <v>0</v>
      </c>
      <c r="R49">
        <f t="shared" si="32"/>
        <v>0</v>
      </c>
      <c r="S49">
        <f t="shared" si="33"/>
        <v>0</v>
      </c>
      <c r="T49">
        <f t="shared" si="34"/>
        <v>0</v>
      </c>
      <c r="U49">
        <f t="shared" si="35"/>
        <v>5</v>
      </c>
      <c r="V49">
        <f t="shared" si="36"/>
        <v>0</v>
      </c>
      <c r="W49">
        <f t="shared" si="37"/>
        <v>0</v>
      </c>
      <c r="X49">
        <f t="shared" si="38"/>
        <v>3</v>
      </c>
      <c r="Y49">
        <f t="shared" si="39"/>
        <v>0</v>
      </c>
      <c r="Z49">
        <f t="shared" si="40"/>
        <v>0</v>
      </c>
      <c r="AA49">
        <f t="shared" si="41"/>
        <v>0</v>
      </c>
      <c r="AB49">
        <f t="shared" si="42"/>
        <v>0</v>
      </c>
      <c r="AC49">
        <f t="shared" si="43"/>
        <v>0</v>
      </c>
    </row>
    <row r="50" spans="1:29" x14ac:dyDescent="0.2">
      <c r="A50">
        <f t="shared" si="22"/>
        <v>48</v>
      </c>
      <c r="B50">
        <f t="shared" si="23"/>
        <v>4</v>
      </c>
      <c r="C50" cm="1">
        <f t="array" ref="C50">IF(M49=1,C49,IF(J49=15,C49,IF(J49=1,IF(K49=0,L49,C49),IF(J49=2,IF(K49=0,INDEX(N49:AC49,1,L49+1),C49),IF(J49=4,IF(K49=0,CHOOSE(L49+1,C49,D49,E49,F49),C49),IF(J49=5,IF(K49=0,MOD(C49+L49,256),C49),IF(J49=6,IF(K49=0,MOD(C49+CHOOSE(L49+1,C49,D49,E49,F49),256),C49),IF(J49=7,IF(K49=0,MOD(C49-L49,256),C49),IF(J49=8,IF(K49=0,MOD(C49-CHOOSE(L49+1,C49,D49,E49,F49),256),C49),IF(J49=12,IF(K49=0,MOD(C49*(IF(L49&gt;=128,CHOOSE(L49-128+1,C49,D49,E49,F49),L49)),256),C49),IF(J49=14,IF(K49=0,_xlfn.BITAND(C49,(IF(L49&gt;=128,CHOOSE(L49-128+1,C49,D49,E49,F49),L49))),C49),IF(J49=16,IF(K49=0,_xlfn.BITOR(C49,(IF(L49&gt;=128,CHOOSE(L49-128+1,C49,D49,E49,F49),L49))),C49),IF(J49=17,IF(K49=0,_xlfn.BITXOR(C49,(IF(L49&gt;=128,CHOOSE(L49-128+1,C49,D49,E49,F49),L49))),C49),IF(J49=18,IF(0=1,QUOTIENT(C49,(IF(L49&gt;=128,CHOOSE(L49-128+1,C49,D49,E49,F49),L49))),IF(0=3,MOD(C49,(IF(L49&gt;=128,CHOOSE(L49-128+1,C49,D49,E49,F49),L49))),C49)),IF(J49=13,C49,C49)))))))))))))))</f>
        <v>10</v>
      </c>
      <c r="D50" cm="1">
        <f t="array" ref="D50">IF(M49=1,D49,IF(J49=15,D49,IF(J49=1,IF(K49=1,L49,D49),IF(J49=2,IF(K49=1,INDEX(N49:AC49,1,L49+1),D49),IF(J49=4,IF(K49=1,CHOOSE(L49+1,C49,D49,E49,F49),D49),IF(J49=5,IF(K49=1,MOD(D49+L49,256),D49),IF(J49=6,IF(K49=1,MOD(D49+CHOOSE(L49+1,C49,D49,E49,F49),256),D49),IF(J49=7,IF(K49=1,MOD(D49-L49,256),D49),IF(J49=8,IF(K49=1,MOD(D49-CHOOSE(L49+1,C49,D49,E49,F49),256),D49),IF(J49=12,IF(K49=1,MOD(D49*(IF(L49&gt;=128,CHOOSE(L49-128+1,C49,D49,E49,F49),L49)),256),D49),IF(J49=14,IF(K49=1,_xlfn.BITAND(D49,(IF(L49&gt;=128,CHOOSE(L49-128+1,C49,D49,E49,F49),L49))),D49),IF(J49=16,IF(K49=1,_xlfn.BITOR(D49,(IF(L49&gt;=128,CHOOSE(L49-128+1,C49,D49,E49,F49),L49))),D49),IF(J49=17,IF(K49=1,_xlfn.BITXOR(D49,(IF(L49&gt;=128,CHOOSE(L49-128+1,C49,D49,E49,F49),L49))),D49),IF(J49=18,IF(1=1,QUOTIENT(C49,(IF(L49&gt;=128,CHOOSE(L49-128+1,C49,D49,E49,F49),L49))),IF(1=3,MOD(C49,(IF(L49&gt;=128,CHOOSE(L49-128+1,C49,D49,E49,F49),L49))),D49)),IF(J49=13,D49,D49)))))))))))))))</f>
        <v>5</v>
      </c>
      <c r="E50" cm="1">
        <f t="array" ref="E50">IF(M49=1,E49,IF(J49=15,E49,IF(J49=1,IF(K49=2,L49,E49),IF(J49=2,IF(K49=2,INDEX(N49:AC49,1,L49+1),E49),IF(J49=4,IF(K49=2,CHOOSE(L49+1,C49,D49,E49,F49),E49),IF(J49=5,IF(K49=2,MOD(E49+L49,256),E49),IF(J49=6,IF(K49=2,MOD(E49+CHOOSE(L49+1,C49,D49,E49,F49),256),E49),IF(J49=7,IF(K49=2,MOD(E49-L49,256),E49),IF(J49=8,IF(K49=2,MOD(E49-CHOOSE(L49+1,C49,D49,E49,F49),256),E49),IF(J49=12,IF(K49=2,MOD(E49*(IF(L49&gt;=128,CHOOSE(L49-128+1,C49,D49,E49,F49),L49)),256),E49),IF(J49=14,IF(K49=2,_xlfn.BITAND(E49,(IF(L49&gt;=128,CHOOSE(L49-128+1,C49,D49,E49,F49),L49))),E49),IF(J49=16,IF(K49=2,_xlfn.BITOR(E49,(IF(L49&gt;=128,CHOOSE(L49-128+1,C49,D49,E49,F49),L49))),E49),IF(J49=17,IF(K49=2,_xlfn.BITXOR(E49,(IF(L49&gt;=128,CHOOSE(L49-128+1,C49,D49,E49,F49),L49))),E49),IF(J49=18,IF(2=1,QUOTIENT(C49,(IF(L49&gt;=128,CHOOSE(L49-128+1,C49,D49,E49,F49),L49))),IF(2=3,MOD(C49,(IF(L49&gt;=128,CHOOSE(L49-128+1,C49,D49,E49,F49),L49))),E49)),IF(J49=13,MOD(E49-1,256),E49)))))))))))))))</f>
        <v>0</v>
      </c>
      <c r="F50" cm="1">
        <f t="array" ref="F50">IF(M49=1,F49,IF(J49=15,F49,IF(J49=1,IF(K49=3,L49,F49),IF(J49=2,IF(K49=3,INDEX(N49:AC49,1,L49+1),F49),IF(J49=4,IF(K49=3,CHOOSE(L49+1,C49,D49,E49,F49),F49),IF(J49=5,IF(K49=3,MOD(F49+L49,256),F49),IF(J49=6,IF(K49=3,MOD(F49+CHOOSE(L49+1,C49,D49,E49,F49),256),F49),IF(J49=7,IF(K49=3,MOD(F49-L49,256),F49),IF(J49=8,IF(K49=3,MOD(F49-CHOOSE(L49+1,C49,D49,E49,F49),256),F49),IF(J49=12,IF(K49=3,MOD(F49*(IF(L49&gt;=128,CHOOSE(L49-128+1,C49,D49,E49,F49),L49)),256),F49),IF(J49=14,IF(K49=3,_xlfn.BITAND(F49,(IF(L49&gt;=128,CHOOSE(L49-128+1,C49,D49,E49,F49),L49))),F49),IF(J49=16,IF(K49=3,_xlfn.BITOR(F49,(IF(L49&gt;=128,CHOOSE(L49-128+1,C49,D49,E49,F49),L49))),F49),IF(J49=17,IF(K49=3,_xlfn.BITXOR(F49,(IF(L49&gt;=128,CHOOSE(L49-128+1,C49,D49,E49,F49),L49))),F49),IF(J49=18,IF(3=1,QUOTIENT(C49,(IF(L49&gt;=128,CHOOSE(L49-128+1,C49,D49,E49,F49),L49))),IF(3=3,MOD(C49,(IF(L49&gt;=128,CHOOSE(L49-128+1,C49,D49,E49,F49),L49))),F49)),IF(J49=13,F49,F49)))))))))))))))</f>
        <v>0</v>
      </c>
      <c r="G50">
        <f t="shared" si="24"/>
        <v>0</v>
      </c>
      <c r="H50">
        <f t="shared" si="25"/>
        <v>0</v>
      </c>
      <c r="I50">
        <f t="shared" si="26"/>
        <v>0</v>
      </c>
      <c r="J50" cm="1">
        <f t="array" ref="J50">INDEX(PROGRAM!$E$2:$E$257, B50+1)</f>
        <v>15</v>
      </c>
      <c r="K50" cm="1">
        <f t="array" ref="K50">INDEX(PROGRAM!$F$2:$F$257, B50+1)</f>
        <v>0</v>
      </c>
      <c r="L50" cm="1">
        <f t="array" ref="L50">INDEX(PROGRAM!$G$2:$G$257, B50+1)</f>
        <v>0</v>
      </c>
      <c r="M50">
        <f t="shared" si="27"/>
        <v>1</v>
      </c>
      <c r="N50">
        <f t="shared" si="28"/>
        <v>0</v>
      </c>
      <c r="O50">
        <f t="shared" si="29"/>
        <v>10</v>
      </c>
      <c r="P50">
        <f t="shared" si="30"/>
        <v>15</v>
      </c>
      <c r="Q50">
        <f t="shared" si="31"/>
        <v>0</v>
      </c>
      <c r="R50">
        <f t="shared" si="32"/>
        <v>0</v>
      </c>
      <c r="S50">
        <f t="shared" si="33"/>
        <v>0</v>
      </c>
      <c r="T50">
        <f t="shared" si="34"/>
        <v>0</v>
      </c>
      <c r="U50">
        <f t="shared" si="35"/>
        <v>5</v>
      </c>
      <c r="V50">
        <f t="shared" si="36"/>
        <v>0</v>
      </c>
      <c r="W50">
        <f t="shared" si="37"/>
        <v>0</v>
      </c>
      <c r="X50">
        <f t="shared" si="38"/>
        <v>3</v>
      </c>
      <c r="Y50">
        <f t="shared" si="39"/>
        <v>0</v>
      </c>
      <c r="Z50">
        <f t="shared" si="40"/>
        <v>0</v>
      </c>
      <c r="AA50">
        <f t="shared" si="41"/>
        <v>0</v>
      </c>
      <c r="AB50">
        <f t="shared" si="42"/>
        <v>0</v>
      </c>
      <c r="AC50">
        <f t="shared" si="43"/>
        <v>0</v>
      </c>
    </row>
    <row r="51" spans="1:29" x14ac:dyDescent="0.2">
      <c r="A51">
        <f t="shared" si="22"/>
        <v>49</v>
      </c>
      <c r="B51">
        <f t="shared" si="23"/>
        <v>4</v>
      </c>
      <c r="C51" cm="1">
        <f t="array" ref="C51">IF(M50=1,C50,IF(J50=15,C50,IF(J50=1,IF(K50=0,L50,C50),IF(J50=2,IF(K50=0,INDEX(N50:AC50,1,L50+1),C50),IF(J50=4,IF(K50=0,CHOOSE(L50+1,C50,D50,E50,F50),C50),IF(J50=5,IF(K50=0,MOD(C50+L50,256),C50),IF(J50=6,IF(K50=0,MOD(C50+CHOOSE(L50+1,C50,D50,E50,F50),256),C50),IF(J50=7,IF(K50=0,MOD(C50-L50,256),C50),IF(J50=8,IF(K50=0,MOD(C50-CHOOSE(L50+1,C50,D50,E50,F50),256),C50),IF(J50=12,IF(K50=0,MOD(C50*(IF(L50&gt;=128,CHOOSE(L50-128+1,C50,D50,E50,F50),L50)),256),C50),IF(J50=14,IF(K50=0,_xlfn.BITAND(C50,(IF(L50&gt;=128,CHOOSE(L50-128+1,C50,D50,E50,F50),L50))),C50),IF(J50=16,IF(K50=0,_xlfn.BITOR(C50,(IF(L50&gt;=128,CHOOSE(L50-128+1,C50,D50,E50,F50),L50))),C50),IF(J50=17,IF(K50=0,_xlfn.BITXOR(C50,(IF(L50&gt;=128,CHOOSE(L50-128+1,C50,D50,E50,F50),L50))),C50),IF(J50=18,IF(0=1,QUOTIENT(C50,(IF(L50&gt;=128,CHOOSE(L50-128+1,C50,D50,E50,F50),L50))),IF(0=3,MOD(C50,(IF(L50&gt;=128,CHOOSE(L50-128+1,C50,D50,E50,F50),L50))),C50)),IF(J50=13,C50,C50)))))))))))))))</f>
        <v>10</v>
      </c>
      <c r="D51" cm="1">
        <f t="array" ref="D51">IF(M50=1,D50,IF(J50=15,D50,IF(J50=1,IF(K50=1,L50,D50),IF(J50=2,IF(K50=1,INDEX(N50:AC50,1,L50+1),D50),IF(J50=4,IF(K50=1,CHOOSE(L50+1,C50,D50,E50,F50),D50),IF(J50=5,IF(K50=1,MOD(D50+L50,256),D50),IF(J50=6,IF(K50=1,MOD(D50+CHOOSE(L50+1,C50,D50,E50,F50),256),D50),IF(J50=7,IF(K50=1,MOD(D50-L50,256),D50),IF(J50=8,IF(K50=1,MOD(D50-CHOOSE(L50+1,C50,D50,E50,F50),256),D50),IF(J50=12,IF(K50=1,MOD(D50*(IF(L50&gt;=128,CHOOSE(L50-128+1,C50,D50,E50,F50),L50)),256),D50),IF(J50=14,IF(K50=1,_xlfn.BITAND(D50,(IF(L50&gt;=128,CHOOSE(L50-128+1,C50,D50,E50,F50),L50))),D50),IF(J50=16,IF(K50=1,_xlfn.BITOR(D50,(IF(L50&gt;=128,CHOOSE(L50-128+1,C50,D50,E50,F50),L50))),D50),IF(J50=17,IF(K50=1,_xlfn.BITXOR(D50,(IF(L50&gt;=128,CHOOSE(L50-128+1,C50,D50,E50,F50),L50))),D50),IF(J50=18,IF(1=1,QUOTIENT(C50,(IF(L50&gt;=128,CHOOSE(L50-128+1,C50,D50,E50,F50),L50))),IF(1=3,MOD(C50,(IF(L50&gt;=128,CHOOSE(L50-128+1,C50,D50,E50,F50),L50))),D50)),IF(J50=13,D50,D50)))))))))))))))</f>
        <v>5</v>
      </c>
      <c r="E51" cm="1">
        <f t="array" ref="E51">IF(M50=1,E50,IF(J50=15,E50,IF(J50=1,IF(K50=2,L50,E50),IF(J50=2,IF(K50=2,INDEX(N50:AC50,1,L50+1),E50),IF(J50=4,IF(K50=2,CHOOSE(L50+1,C50,D50,E50,F50),E50),IF(J50=5,IF(K50=2,MOD(E50+L50,256),E50),IF(J50=6,IF(K50=2,MOD(E50+CHOOSE(L50+1,C50,D50,E50,F50),256),E50),IF(J50=7,IF(K50=2,MOD(E50-L50,256),E50),IF(J50=8,IF(K50=2,MOD(E50-CHOOSE(L50+1,C50,D50,E50,F50),256),E50),IF(J50=12,IF(K50=2,MOD(E50*(IF(L50&gt;=128,CHOOSE(L50-128+1,C50,D50,E50,F50),L50)),256),E50),IF(J50=14,IF(K50=2,_xlfn.BITAND(E50,(IF(L50&gt;=128,CHOOSE(L50-128+1,C50,D50,E50,F50),L50))),E50),IF(J50=16,IF(K50=2,_xlfn.BITOR(E50,(IF(L50&gt;=128,CHOOSE(L50-128+1,C50,D50,E50,F50),L50))),E50),IF(J50=17,IF(K50=2,_xlfn.BITXOR(E50,(IF(L50&gt;=128,CHOOSE(L50-128+1,C50,D50,E50,F50),L50))),E50),IF(J50=18,IF(2=1,QUOTIENT(C50,(IF(L50&gt;=128,CHOOSE(L50-128+1,C50,D50,E50,F50),L50))),IF(2=3,MOD(C50,(IF(L50&gt;=128,CHOOSE(L50-128+1,C50,D50,E50,F50),L50))),E50)),IF(J50=13,MOD(E50-1,256),E50)))))))))))))))</f>
        <v>0</v>
      </c>
      <c r="F51" cm="1">
        <f t="array" ref="F51">IF(M50=1,F50,IF(J50=15,F50,IF(J50=1,IF(K50=3,L50,F50),IF(J50=2,IF(K50=3,INDEX(N50:AC50,1,L50+1),F50),IF(J50=4,IF(K50=3,CHOOSE(L50+1,C50,D50,E50,F50),F50),IF(J50=5,IF(K50=3,MOD(F50+L50,256),F50),IF(J50=6,IF(K50=3,MOD(F50+CHOOSE(L50+1,C50,D50,E50,F50),256),F50),IF(J50=7,IF(K50=3,MOD(F50-L50,256),F50),IF(J50=8,IF(K50=3,MOD(F50-CHOOSE(L50+1,C50,D50,E50,F50),256),F50),IF(J50=12,IF(K50=3,MOD(F50*(IF(L50&gt;=128,CHOOSE(L50-128+1,C50,D50,E50,F50),L50)),256),F50),IF(J50=14,IF(K50=3,_xlfn.BITAND(F50,(IF(L50&gt;=128,CHOOSE(L50-128+1,C50,D50,E50,F50),L50))),F50),IF(J50=16,IF(K50=3,_xlfn.BITOR(F50,(IF(L50&gt;=128,CHOOSE(L50-128+1,C50,D50,E50,F50),L50))),F50),IF(J50=17,IF(K50=3,_xlfn.BITXOR(F50,(IF(L50&gt;=128,CHOOSE(L50-128+1,C50,D50,E50,F50),L50))),F50),IF(J50=18,IF(3=1,QUOTIENT(C50,(IF(L50&gt;=128,CHOOSE(L50-128+1,C50,D50,E50,F50),L50))),IF(3=3,MOD(C50,(IF(L50&gt;=128,CHOOSE(L50-128+1,C50,D50,E50,F50),L50))),F50)),IF(J50=13,F50,F50)))))))))))))))</f>
        <v>0</v>
      </c>
      <c r="G51">
        <f t="shared" si="24"/>
        <v>0</v>
      </c>
      <c r="H51">
        <f t="shared" si="25"/>
        <v>0</v>
      </c>
      <c r="I51">
        <f t="shared" si="26"/>
        <v>0</v>
      </c>
      <c r="J51" cm="1">
        <f t="array" ref="J51">INDEX(PROGRAM!$E$2:$E$257, B51+1)</f>
        <v>15</v>
      </c>
      <c r="K51" cm="1">
        <f t="array" ref="K51">INDEX(PROGRAM!$F$2:$F$257, B51+1)</f>
        <v>0</v>
      </c>
      <c r="L51" cm="1">
        <f t="array" ref="L51">INDEX(PROGRAM!$G$2:$G$257, B51+1)</f>
        <v>0</v>
      </c>
      <c r="M51">
        <f t="shared" si="27"/>
        <v>1</v>
      </c>
      <c r="N51">
        <f t="shared" si="28"/>
        <v>0</v>
      </c>
      <c r="O51">
        <f t="shared" si="29"/>
        <v>10</v>
      </c>
      <c r="P51">
        <f t="shared" si="30"/>
        <v>15</v>
      </c>
      <c r="Q51">
        <f t="shared" si="31"/>
        <v>0</v>
      </c>
      <c r="R51">
        <f t="shared" si="32"/>
        <v>0</v>
      </c>
      <c r="S51">
        <f t="shared" si="33"/>
        <v>0</v>
      </c>
      <c r="T51">
        <f t="shared" si="34"/>
        <v>0</v>
      </c>
      <c r="U51">
        <f t="shared" si="35"/>
        <v>5</v>
      </c>
      <c r="V51">
        <f t="shared" si="36"/>
        <v>0</v>
      </c>
      <c r="W51">
        <f t="shared" si="37"/>
        <v>0</v>
      </c>
      <c r="X51">
        <f t="shared" si="38"/>
        <v>3</v>
      </c>
      <c r="Y51">
        <f t="shared" si="39"/>
        <v>0</v>
      </c>
      <c r="Z51">
        <f t="shared" si="40"/>
        <v>0</v>
      </c>
      <c r="AA51">
        <f t="shared" si="41"/>
        <v>0</v>
      </c>
      <c r="AB51">
        <f t="shared" si="42"/>
        <v>0</v>
      </c>
      <c r="AC51">
        <f t="shared" si="43"/>
        <v>0</v>
      </c>
    </row>
    <row r="52" spans="1:29" x14ac:dyDescent="0.2">
      <c r="A52">
        <f t="shared" si="22"/>
        <v>50</v>
      </c>
      <c r="B52">
        <f t="shared" si="23"/>
        <v>4</v>
      </c>
      <c r="C52" cm="1">
        <f t="array" ref="C52">IF(M51=1,C51,IF(J51=15,C51,IF(J51=1,IF(K51=0,L51,C51),IF(J51=2,IF(K51=0,INDEX(N51:AC51,1,L51+1),C51),IF(J51=4,IF(K51=0,CHOOSE(L51+1,C51,D51,E51,F51),C51),IF(J51=5,IF(K51=0,MOD(C51+L51,256),C51),IF(J51=6,IF(K51=0,MOD(C51+CHOOSE(L51+1,C51,D51,E51,F51),256),C51),IF(J51=7,IF(K51=0,MOD(C51-L51,256),C51),IF(J51=8,IF(K51=0,MOD(C51-CHOOSE(L51+1,C51,D51,E51,F51),256),C51),IF(J51=12,IF(K51=0,MOD(C51*(IF(L51&gt;=128,CHOOSE(L51-128+1,C51,D51,E51,F51),L51)),256),C51),IF(J51=14,IF(K51=0,_xlfn.BITAND(C51,(IF(L51&gt;=128,CHOOSE(L51-128+1,C51,D51,E51,F51),L51))),C51),IF(J51=16,IF(K51=0,_xlfn.BITOR(C51,(IF(L51&gt;=128,CHOOSE(L51-128+1,C51,D51,E51,F51),L51))),C51),IF(J51=17,IF(K51=0,_xlfn.BITXOR(C51,(IF(L51&gt;=128,CHOOSE(L51-128+1,C51,D51,E51,F51),L51))),C51),IF(J51=18,IF(0=1,QUOTIENT(C51,(IF(L51&gt;=128,CHOOSE(L51-128+1,C51,D51,E51,F51),L51))),IF(0=3,MOD(C51,(IF(L51&gt;=128,CHOOSE(L51-128+1,C51,D51,E51,F51),L51))),C51)),IF(J51=13,C51,C51)))))))))))))))</f>
        <v>10</v>
      </c>
      <c r="D52" cm="1">
        <f t="array" ref="D52">IF(M51=1,D51,IF(J51=15,D51,IF(J51=1,IF(K51=1,L51,D51),IF(J51=2,IF(K51=1,INDEX(N51:AC51,1,L51+1),D51),IF(J51=4,IF(K51=1,CHOOSE(L51+1,C51,D51,E51,F51),D51),IF(J51=5,IF(K51=1,MOD(D51+L51,256),D51),IF(J51=6,IF(K51=1,MOD(D51+CHOOSE(L51+1,C51,D51,E51,F51),256),D51),IF(J51=7,IF(K51=1,MOD(D51-L51,256),D51),IF(J51=8,IF(K51=1,MOD(D51-CHOOSE(L51+1,C51,D51,E51,F51),256),D51),IF(J51=12,IF(K51=1,MOD(D51*(IF(L51&gt;=128,CHOOSE(L51-128+1,C51,D51,E51,F51),L51)),256),D51),IF(J51=14,IF(K51=1,_xlfn.BITAND(D51,(IF(L51&gt;=128,CHOOSE(L51-128+1,C51,D51,E51,F51),L51))),D51),IF(J51=16,IF(K51=1,_xlfn.BITOR(D51,(IF(L51&gt;=128,CHOOSE(L51-128+1,C51,D51,E51,F51),L51))),D51),IF(J51=17,IF(K51=1,_xlfn.BITXOR(D51,(IF(L51&gt;=128,CHOOSE(L51-128+1,C51,D51,E51,F51),L51))),D51),IF(J51=18,IF(1=1,QUOTIENT(C51,(IF(L51&gt;=128,CHOOSE(L51-128+1,C51,D51,E51,F51),L51))),IF(1=3,MOD(C51,(IF(L51&gt;=128,CHOOSE(L51-128+1,C51,D51,E51,F51),L51))),D51)),IF(J51=13,D51,D51)))))))))))))))</f>
        <v>5</v>
      </c>
      <c r="E52" cm="1">
        <f t="array" ref="E52">IF(M51=1,E51,IF(J51=15,E51,IF(J51=1,IF(K51=2,L51,E51),IF(J51=2,IF(K51=2,INDEX(N51:AC51,1,L51+1),E51),IF(J51=4,IF(K51=2,CHOOSE(L51+1,C51,D51,E51,F51),E51),IF(J51=5,IF(K51=2,MOD(E51+L51,256),E51),IF(J51=6,IF(K51=2,MOD(E51+CHOOSE(L51+1,C51,D51,E51,F51),256),E51),IF(J51=7,IF(K51=2,MOD(E51-L51,256),E51),IF(J51=8,IF(K51=2,MOD(E51-CHOOSE(L51+1,C51,D51,E51,F51),256),E51),IF(J51=12,IF(K51=2,MOD(E51*(IF(L51&gt;=128,CHOOSE(L51-128+1,C51,D51,E51,F51),L51)),256),E51),IF(J51=14,IF(K51=2,_xlfn.BITAND(E51,(IF(L51&gt;=128,CHOOSE(L51-128+1,C51,D51,E51,F51),L51))),E51),IF(J51=16,IF(K51=2,_xlfn.BITOR(E51,(IF(L51&gt;=128,CHOOSE(L51-128+1,C51,D51,E51,F51),L51))),E51),IF(J51=17,IF(K51=2,_xlfn.BITXOR(E51,(IF(L51&gt;=128,CHOOSE(L51-128+1,C51,D51,E51,F51),L51))),E51),IF(J51=18,IF(2=1,QUOTIENT(C51,(IF(L51&gt;=128,CHOOSE(L51-128+1,C51,D51,E51,F51),L51))),IF(2=3,MOD(C51,(IF(L51&gt;=128,CHOOSE(L51-128+1,C51,D51,E51,F51),L51))),E51)),IF(J51=13,MOD(E51-1,256),E51)))))))))))))))</f>
        <v>0</v>
      </c>
      <c r="F52" cm="1">
        <f t="array" ref="F52">IF(M51=1,F51,IF(J51=15,F51,IF(J51=1,IF(K51=3,L51,F51),IF(J51=2,IF(K51=3,INDEX(N51:AC51,1,L51+1),F51),IF(J51=4,IF(K51=3,CHOOSE(L51+1,C51,D51,E51,F51),F51),IF(J51=5,IF(K51=3,MOD(F51+L51,256),F51),IF(J51=6,IF(K51=3,MOD(F51+CHOOSE(L51+1,C51,D51,E51,F51),256),F51),IF(J51=7,IF(K51=3,MOD(F51-L51,256),F51),IF(J51=8,IF(K51=3,MOD(F51-CHOOSE(L51+1,C51,D51,E51,F51),256),F51),IF(J51=12,IF(K51=3,MOD(F51*(IF(L51&gt;=128,CHOOSE(L51-128+1,C51,D51,E51,F51),L51)),256),F51),IF(J51=14,IF(K51=3,_xlfn.BITAND(F51,(IF(L51&gt;=128,CHOOSE(L51-128+1,C51,D51,E51,F51),L51))),F51),IF(J51=16,IF(K51=3,_xlfn.BITOR(F51,(IF(L51&gt;=128,CHOOSE(L51-128+1,C51,D51,E51,F51),L51))),F51),IF(J51=17,IF(K51=3,_xlfn.BITXOR(F51,(IF(L51&gt;=128,CHOOSE(L51-128+1,C51,D51,E51,F51),L51))),F51),IF(J51=18,IF(3=1,QUOTIENT(C51,(IF(L51&gt;=128,CHOOSE(L51-128+1,C51,D51,E51,F51),L51))),IF(3=3,MOD(C51,(IF(L51&gt;=128,CHOOSE(L51-128+1,C51,D51,E51,F51),L51))),F51)),IF(J51=13,F51,F51)))))))))))))))</f>
        <v>0</v>
      </c>
      <c r="G52">
        <f t="shared" si="24"/>
        <v>0</v>
      </c>
      <c r="H52">
        <f t="shared" si="25"/>
        <v>0</v>
      </c>
      <c r="I52">
        <f t="shared" si="26"/>
        <v>0</v>
      </c>
      <c r="J52" cm="1">
        <f t="array" ref="J52">INDEX(PROGRAM!$E$2:$E$257, B52+1)</f>
        <v>15</v>
      </c>
      <c r="K52" cm="1">
        <f t="array" ref="K52">INDEX(PROGRAM!$F$2:$F$257, B52+1)</f>
        <v>0</v>
      </c>
      <c r="L52" cm="1">
        <f t="array" ref="L52">INDEX(PROGRAM!$G$2:$G$257, B52+1)</f>
        <v>0</v>
      </c>
      <c r="M52">
        <f t="shared" si="27"/>
        <v>1</v>
      </c>
      <c r="N52">
        <f t="shared" si="28"/>
        <v>0</v>
      </c>
      <c r="O52">
        <f t="shared" si="29"/>
        <v>10</v>
      </c>
      <c r="P52">
        <f t="shared" si="30"/>
        <v>15</v>
      </c>
      <c r="Q52">
        <f t="shared" si="31"/>
        <v>0</v>
      </c>
      <c r="R52">
        <f t="shared" si="32"/>
        <v>0</v>
      </c>
      <c r="S52">
        <f t="shared" si="33"/>
        <v>0</v>
      </c>
      <c r="T52">
        <f t="shared" si="34"/>
        <v>0</v>
      </c>
      <c r="U52">
        <f t="shared" si="35"/>
        <v>5</v>
      </c>
      <c r="V52">
        <f t="shared" si="36"/>
        <v>0</v>
      </c>
      <c r="W52">
        <f t="shared" si="37"/>
        <v>0</v>
      </c>
      <c r="X52">
        <f t="shared" si="38"/>
        <v>3</v>
      </c>
      <c r="Y52">
        <f t="shared" si="39"/>
        <v>0</v>
      </c>
      <c r="Z52">
        <f t="shared" si="40"/>
        <v>0</v>
      </c>
      <c r="AA52">
        <f t="shared" si="41"/>
        <v>0</v>
      </c>
      <c r="AB52">
        <f t="shared" si="42"/>
        <v>0</v>
      </c>
      <c r="AC52">
        <f t="shared" si="43"/>
        <v>0</v>
      </c>
    </row>
    <row r="53" spans="1:29" x14ac:dyDescent="0.2">
      <c r="A53">
        <f t="shared" si="22"/>
        <v>51</v>
      </c>
      <c r="B53">
        <f t="shared" si="23"/>
        <v>4</v>
      </c>
      <c r="C53" cm="1">
        <f t="array" ref="C53">IF(M52=1,C52,IF(J52=15,C52,IF(J52=1,IF(K52=0,L52,C52),IF(J52=2,IF(K52=0,INDEX(N52:AC52,1,L52+1),C52),IF(J52=4,IF(K52=0,CHOOSE(L52+1,C52,D52,E52,F52),C52),IF(J52=5,IF(K52=0,MOD(C52+L52,256),C52),IF(J52=6,IF(K52=0,MOD(C52+CHOOSE(L52+1,C52,D52,E52,F52),256),C52),IF(J52=7,IF(K52=0,MOD(C52-L52,256),C52),IF(J52=8,IF(K52=0,MOD(C52-CHOOSE(L52+1,C52,D52,E52,F52),256),C52),IF(J52=12,IF(K52=0,MOD(C52*(IF(L52&gt;=128,CHOOSE(L52-128+1,C52,D52,E52,F52),L52)),256),C52),IF(J52=14,IF(K52=0,_xlfn.BITAND(C52,(IF(L52&gt;=128,CHOOSE(L52-128+1,C52,D52,E52,F52),L52))),C52),IF(J52=16,IF(K52=0,_xlfn.BITOR(C52,(IF(L52&gt;=128,CHOOSE(L52-128+1,C52,D52,E52,F52),L52))),C52),IF(J52=17,IF(K52=0,_xlfn.BITXOR(C52,(IF(L52&gt;=128,CHOOSE(L52-128+1,C52,D52,E52,F52),L52))),C52),IF(J52=18,IF(0=1,QUOTIENT(C52,(IF(L52&gt;=128,CHOOSE(L52-128+1,C52,D52,E52,F52),L52))),IF(0=3,MOD(C52,(IF(L52&gt;=128,CHOOSE(L52-128+1,C52,D52,E52,F52),L52))),C52)),IF(J52=13,C52,C52)))))))))))))))</f>
        <v>10</v>
      </c>
      <c r="D53" cm="1">
        <f t="array" ref="D53">IF(M52=1,D52,IF(J52=15,D52,IF(J52=1,IF(K52=1,L52,D52),IF(J52=2,IF(K52=1,INDEX(N52:AC52,1,L52+1),D52),IF(J52=4,IF(K52=1,CHOOSE(L52+1,C52,D52,E52,F52),D52),IF(J52=5,IF(K52=1,MOD(D52+L52,256),D52),IF(J52=6,IF(K52=1,MOD(D52+CHOOSE(L52+1,C52,D52,E52,F52),256),D52),IF(J52=7,IF(K52=1,MOD(D52-L52,256),D52),IF(J52=8,IF(K52=1,MOD(D52-CHOOSE(L52+1,C52,D52,E52,F52),256),D52),IF(J52=12,IF(K52=1,MOD(D52*(IF(L52&gt;=128,CHOOSE(L52-128+1,C52,D52,E52,F52),L52)),256),D52),IF(J52=14,IF(K52=1,_xlfn.BITAND(D52,(IF(L52&gt;=128,CHOOSE(L52-128+1,C52,D52,E52,F52),L52))),D52),IF(J52=16,IF(K52=1,_xlfn.BITOR(D52,(IF(L52&gt;=128,CHOOSE(L52-128+1,C52,D52,E52,F52),L52))),D52),IF(J52=17,IF(K52=1,_xlfn.BITXOR(D52,(IF(L52&gt;=128,CHOOSE(L52-128+1,C52,D52,E52,F52),L52))),D52),IF(J52=18,IF(1=1,QUOTIENT(C52,(IF(L52&gt;=128,CHOOSE(L52-128+1,C52,D52,E52,F52),L52))),IF(1=3,MOD(C52,(IF(L52&gt;=128,CHOOSE(L52-128+1,C52,D52,E52,F52),L52))),D52)),IF(J52=13,D52,D52)))))))))))))))</f>
        <v>5</v>
      </c>
      <c r="E53" cm="1">
        <f t="array" ref="E53">IF(M52=1,E52,IF(J52=15,E52,IF(J52=1,IF(K52=2,L52,E52),IF(J52=2,IF(K52=2,INDEX(N52:AC52,1,L52+1),E52),IF(J52=4,IF(K52=2,CHOOSE(L52+1,C52,D52,E52,F52),E52),IF(J52=5,IF(K52=2,MOD(E52+L52,256),E52),IF(J52=6,IF(K52=2,MOD(E52+CHOOSE(L52+1,C52,D52,E52,F52),256),E52),IF(J52=7,IF(K52=2,MOD(E52-L52,256),E52),IF(J52=8,IF(K52=2,MOD(E52-CHOOSE(L52+1,C52,D52,E52,F52),256),E52),IF(J52=12,IF(K52=2,MOD(E52*(IF(L52&gt;=128,CHOOSE(L52-128+1,C52,D52,E52,F52),L52)),256),E52),IF(J52=14,IF(K52=2,_xlfn.BITAND(E52,(IF(L52&gt;=128,CHOOSE(L52-128+1,C52,D52,E52,F52),L52))),E52),IF(J52=16,IF(K52=2,_xlfn.BITOR(E52,(IF(L52&gt;=128,CHOOSE(L52-128+1,C52,D52,E52,F52),L52))),E52),IF(J52=17,IF(K52=2,_xlfn.BITXOR(E52,(IF(L52&gt;=128,CHOOSE(L52-128+1,C52,D52,E52,F52),L52))),E52),IF(J52=18,IF(2=1,QUOTIENT(C52,(IF(L52&gt;=128,CHOOSE(L52-128+1,C52,D52,E52,F52),L52))),IF(2=3,MOD(C52,(IF(L52&gt;=128,CHOOSE(L52-128+1,C52,D52,E52,F52),L52))),E52)),IF(J52=13,MOD(E52-1,256),E52)))))))))))))))</f>
        <v>0</v>
      </c>
      <c r="F53" cm="1">
        <f t="array" ref="F53">IF(M52=1,F52,IF(J52=15,F52,IF(J52=1,IF(K52=3,L52,F52),IF(J52=2,IF(K52=3,INDEX(N52:AC52,1,L52+1),F52),IF(J52=4,IF(K52=3,CHOOSE(L52+1,C52,D52,E52,F52),F52),IF(J52=5,IF(K52=3,MOD(F52+L52,256),F52),IF(J52=6,IF(K52=3,MOD(F52+CHOOSE(L52+1,C52,D52,E52,F52),256),F52),IF(J52=7,IF(K52=3,MOD(F52-L52,256),F52),IF(J52=8,IF(K52=3,MOD(F52-CHOOSE(L52+1,C52,D52,E52,F52),256),F52),IF(J52=12,IF(K52=3,MOD(F52*(IF(L52&gt;=128,CHOOSE(L52-128+1,C52,D52,E52,F52),L52)),256),F52),IF(J52=14,IF(K52=3,_xlfn.BITAND(F52,(IF(L52&gt;=128,CHOOSE(L52-128+1,C52,D52,E52,F52),L52))),F52),IF(J52=16,IF(K52=3,_xlfn.BITOR(F52,(IF(L52&gt;=128,CHOOSE(L52-128+1,C52,D52,E52,F52),L52))),F52),IF(J52=17,IF(K52=3,_xlfn.BITXOR(F52,(IF(L52&gt;=128,CHOOSE(L52-128+1,C52,D52,E52,F52),L52))),F52),IF(J52=18,IF(3=1,QUOTIENT(C52,(IF(L52&gt;=128,CHOOSE(L52-128+1,C52,D52,E52,F52),L52))),IF(3=3,MOD(C52,(IF(L52&gt;=128,CHOOSE(L52-128+1,C52,D52,E52,F52),L52))),F52)),IF(J52=13,F52,F52)))))))))))))))</f>
        <v>0</v>
      </c>
      <c r="G53">
        <f t="shared" si="24"/>
        <v>0</v>
      </c>
      <c r="H53">
        <f t="shared" si="25"/>
        <v>0</v>
      </c>
      <c r="I53">
        <f t="shared" si="26"/>
        <v>0</v>
      </c>
      <c r="J53" cm="1">
        <f t="array" ref="J53">INDEX(PROGRAM!$E$2:$E$257, B53+1)</f>
        <v>15</v>
      </c>
      <c r="K53" cm="1">
        <f t="array" ref="K53">INDEX(PROGRAM!$F$2:$F$257, B53+1)</f>
        <v>0</v>
      </c>
      <c r="L53" cm="1">
        <f t="array" ref="L53">INDEX(PROGRAM!$G$2:$G$257, B53+1)</f>
        <v>0</v>
      </c>
      <c r="M53">
        <f t="shared" si="27"/>
        <v>1</v>
      </c>
      <c r="N53">
        <f t="shared" si="28"/>
        <v>0</v>
      </c>
      <c r="O53">
        <f t="shared" si="29"/>
        <v>10</v>
      </c>
      <c r="P53">
        <f t="shared" si="30"/>
        <v>15</v>
      </c>
      <c r="Q53">
        <f t="shared" si="31"/>
        <v>0</v>
      </c>
      <c r="R53">
        <f t="shared" si="32"/>
        <v>0</v>
      </c>
      <c r="S53">
        <f t="shared" si="33"/>
        <v>0</v>
      </c>
      <c r="T53">
        <f t="shared" si="34"/>
        <v>0</v>
      </c>
      <c r="U53">
        <f t="shared" si="35"/>
        <v>5</v>
      </c>
      <c r="V53">
        <f t="shared" si="36"/>
        <v>0</v>
      </c>
      <c r="W53">
        <f t="shared" si="37"/>
        <v>0</v>
      </c>
      <c r="X53">
        <f t="shared" si="38"/>
        <v>3</v>
      </c>
      <c r="Y53">
        <f t="shared" si="39"/>
        <v>0</v>
      </c>
      <c r="Z53">
        <f t="shared" si="40"/>
        <v>0</v>
      </c>
      <c r="AA53">
        <f t="shared" si="41"/>
        <v>0</v>
      </c>
      <c r="AB53">
        <f t="shared" si="42"/>
        <v>0</v>
      </c>
      <c r="AC53">
        <f t="shared" si="43"/>
        <v>0</v>
      </c>
    </row>
    <row r="54" spans="1:29" x14ac:dyDescent="0.2">
      <c r="A54">
        <f t="shared" si="22"/>
        <v>52</v>
      </c>
      <c r="B54">
        <f t="shared" si="23"/>
        <v>4</v>
      </c>
      <c r="C54" cm="1">
        <f t="array" ref="C54">IF(M53=1,C53,IF(J53=15,C53,IF(J53=1,IF(K53=0,L53,C53),IF(J53=2,IF(K53=0,INDEX(N53:AC53,1,L53+1),C53),IF(J53=4,IF(K53=0,CHOOSE(L53+1,C53,D53,E53,F53),C53),IF(J53=5,IF(K53=0,MOD(C53+L53,256),C53),IF(J53=6,IF(K53=0,MOD(C53+CHOOSE(L53+1,C53,D53,E53,F53),256),C53),IF(J53=7,IF(K53=0,MOD(C53-L53,256),C53),IF(J53=8,IF(K53=0,MOD(C53-CHOOSE(L53+1,C53,D53,E53,F53),256),C53),IF(J53=12,IF(K53=0,MOD(C53*(IF(L53&gt;=128,CHOOSE(L53-128+1,C53,D53,E53,F53),L53)),256),C53),IF(J53=14,IF(K53=0,_xlfn.BITAND(C53,(IF(L53&gt;=128,CHOOSE(L53-128+1,C53,D53,E53,F53),L53))),C53),IF(J53=16,IF(K53=0,_xlfn.BITOR(C53,(IF(L53&gt;=128,CHOOSE(L53-128+1,C53,D53,E53,F53),L53))),C53),IF(J53=17,IF(K53=0,_xlfn.BITXOR(C53,(IF(L53&gt;=128,CHOOSE(L53-128+1,C53,D53,E53,F53),L53))),C53),IF(J53=18,IF(0=1,QUOTIENT(C53,(IF(L53&gt;=128,CHOOSE(L53-128+1,C53,D53,E53,F53),L53))),IF(0=3,MOD(C53,(IF(L53&gt;=128,CHOOSE(L53-128+1,C53,D53,E53,F53),L53))),C53)),IF(J53=13,C53,C53)))))))))))))))</f>
        <v>10</v>
      </c>
      <c r="D54" cm="1">
        <f t="array" ref="D54">IF(M53=1,D53,IF(J53=15,D53,IF(J53=1,IF(K53=1,L53,D53),IF(J53=2,IF(K53=1,INDEX(N53:AC53,1,L53+1),D53),IF(J53=4,IF(K53=1,CHOOSE(L53+1,C53,D53,E53,F53),D53),IF(J53=5,IF(K53=1,MOD(D53+L53,256),D53),IF(J53=6,IF(K53=1,MOD(D53+CHOOSE(L53+1,C53,D53,E53,F53),256),D53),IF(J53=7,IF(K53=1,MOD(D53-L53,256),D53),IF(J53=8,IF(K53=1,MOD(D53-CHOOSE(L53+1,C53,D53,E53,F53),256),D53),IF(J53=12,IF(K53=1,MOD(D53*(IF(L53&gt;=128,CHOOSE(L53-128+1,C53,D53,E53,F53),L53)),256),D53),IF(J53=14,IF(K53=1,_xlfn.BITAND(D53,(IF(L53&gt;=128,CHOOSE(L53-128+1,C53,D53,E53,F53),L53))),D53),IF(J53=16,IF(K53=1,_xlfn.BITOR(D53,(IF(L53&gt;=128,CHOOSE(L53-128+1,C53,D53,E53,F53),L53))),D53),IF(J53=17,IF(K53=1,_xlfn.BITXOR(D53,(IF(L53&gt;=128,CHOOSE(L53-128+1,C53,D53,E53,F53),L53))),D53),IF(J53=18,IF(1=1,QUOTIENT(C53,(IF(L53&gt;=128,CHOOSE(L53-128+1,C53,D53,E53,F53),L53))),IF(1=3,MOD(C53,(IF(L53&gt;=128,CHOOSE(L53-128+1,C53,D53,E53,F53),L53))),D53)),IF(J53=13,D53,D53)))))))))))))))</f>
        <v>5</v>
      </c>
      <c r="E54" cm="1">
        <f t="array" ref="E54">IF(M53=1,E53,IF(J53=15,E53,IF(J53=1,IF(K53=2,L53,E53),IF(J53=2,IF(K53=2,INDEX(N53:AC53,1,L53+1),E53),IF(J53=4,IF(K53=2,CHOOSE(L53+1,C53,D53,E53,F53),E53),IF(J53=5,IF(K53=2,MOD(E53+L53,256),E53),IF(J53=6,IF(K53=2,MOD(E53+CHOOSE(L53+1,C53,D53,E53,F53),256),E53),IF(J53=7,IF(K53=2,MOD(E53-L53,256),E53),IF(J53=8,IF(K53=2,MOD(E53-CHOOSE(L53+1,C53,D53,E53,F53),256),E53),IF(J53=12,IF(K53=2,MOD(E53*(IF(L53&gt;=128,CHOOSE(L53-128+1,C53,D53,E53,F53),L53)),256),E53),IF(J53=14,IF(K53=2,_xlfn.BITAND(E53,(IF(L53&gt;=128,CHOOSE(L53-128+1,C53,D53,E53,F53),L53))),E53),IF(J53=16,IF(K53=2,_xlfn.BITOR(E53,(IF(L53&gt;=128,CHOOSE(L53-128+1,C53,D53,E53,F53),L53))),E53),IF(J53=17,IF(K53=2,_xlfn.BITXOR(E53,(IF(L53&gt;=128,CHOOSE(L53-128+1,C53,D53,E53,F53),L53))),E53),IF(J53=18,IF(2=1,QUOTIENT(C53,(IF(L53&gt;=128,CHOOSE(L53-128+1,C53,D53,E53,F53),L53))),IF(2=3,MOD(C53,(IF(L53&gt;=128,CHOOSE(L53-128+1,C53,D53,E53,F53),L53))),E53)),IF(J53=13,MOD(E53-1,256),E53)))))))))))))))</f>
        <v>0</v>
      </c>
      <c r="F54" cm="1">
        <f t="array" ref="F54">IF(M53=1,F53,IF(J53=15,F53,IF(J53=1,IF(K53=3,L53,F53),IF(J53=2,IF(K53=3,INDEX(N53:AC53,1,L53+1),F53),IF(J53=4,IF(K53=3,CHOOSE(L53+1,C53,D53,E53,F53),F53),IF(J53=5,IF(K53=3,MOD(F53+L53,256),F53),IF(J53=6,IF(K53=3,MOD(F53+CHOOSE(L53+1,C53,D53,E53,F53),256),F53),IF(J53=7,IF(K53=3,MOD(F53-L53,256),F53),IF(J53=8,IF(K53=3,MOD(F53-CHOOSE(L53+1,C53,D53,E53,F53),256),F53),IF(J53=12,IF(K53=3,MOD(F53*(IF(L53&gt;=128,CHOOSE(L53-128+1,C53,D53,E53,F53),L53)),256),F53),IF(J53=14,IF(K53=3,_xlfn.BITAND(F53,(IF(L53&gt;=128,CHOOSE(L53-128+1,C53,D53,E53,F53),L53))),F53),IF(J53=16,IF(K53=3,_xlfn.BITOR(F53,(IF(L53&gt;=128,CHOOSE(L53-128+1,C53,D53,E53,F53),L53))),F53),IF(J53=17,IF(K53=3,_xlfn.BITXOR(F53,(IF(L53&gt;=128,CHOOSE(L53-128+1,C53,D53,E53,F53),L53))),F53),IF(J53=18,IF(3=1,QUOTIENT(C53,(IF(L53&gt;=128,CHOOSE(L53-128+1,C53,D53,E53,F53),L53))),IF(3=3,MOD(C53,(IF(L53&gt;=128,CHOOSE(L53-128+1,C53,D53,E53,F53),L53))),F53)),IF(J53=13,F53,F53)))))))))))))))</f>
        <v>0</v>
      </c>
      <c r="G54">
        <f t="shared" si="24"/>
        <v>0</v>
      </c>
      <c r="H54">
        <f t="shared" si="25"/>
        <v>0</v>
      </c>
      <c r="I54">
        <f t="shared" si="26"/>
        <v>0</v>
      </c>
      <c r="J54" cm="1">
        <f t="array" ref="J54">INDEX(PROGRAM!$E$2:$E$257, B54+1)</f>
        <v>15</v>
      </c>
      <c r="K54" cm="1">
        <f t="array" ref="K54">INDEX(PROGRAM!$F$2:$F$257, B54+1)</f>
        <v>0</v>
      </c>
      <c r="L54" cm="1">
        <f t="array" ref="L54">INDEX(PROGRAM!$G$2:$G$257, B54+1)</f>
        <v>0</v>
      </c>
      <c r="M54">
        <f t="shared" si="27"/>
        <v>1</v>
      </c>
      <c r="N54">
        <f t="shared" si="28"/>
        <v>0</v>
      </c>
      <c r="O54">
        <f t="shared" si="29"/>
        <v>10</v>
      </c>
      <c r="P54">
        <f t="shared" si="30"/>
        <v>15</v>
      </c>
      <c r="Q54">
        <f t="shared" si="31"/>
        <v>0</v>
      </c>
      <c r="R54">
        <f t="shared" si="32"/>
        <v>0</v>
      </c>
      <c r="S54">
        <f t="shared" si="33"/>
        <v>0</v>
      </c>
      <c r="T54">
        <f t="shared" si="34"/>
        <v>0</v>
      </c>
      <c r="U54">
        <f t="shared" si="35"/>
        <v>5</v>
      </c>
      <c r="V54">
        <f t="shared" si="36"/>
        <v>0</v>
      </c>
      <c r="W54">
        <f t="shared" si="37"/>
        <v>0</v>
      </c>
      <c r="X54">
        <f t="shared" si="38"/>
        <v>3</v>
      </c>
      <c r="Y54">
        <f t="shared" si="39"/>
        <v>0</v>
      </c>
      <c r="Z54">
        <f t="shared" si="40"/>
        <v>0</v>
      </c>
      <c r="AA54">
        <f t="shared" si="41"/>
        <v>0</v>
      </c>
      <c r="AB54">
        <f t="shared" si="42"/>
        <v>0</v>
      </c>
      <c r="AC54">
        <f t="shared" si="43"/>
        <v>0</v>
      </c>
    </row>
    <row r="55" spans="1:29" x14ac:dyDescent="0.2">
      <c r="A55">
        <f t="shared" si="22"/>
        <v>53</v>
      </c>
      <c r="B55">
        <f t="shared" si="23"/>
        <v>4</v>
      </c>
      <c r="C55" cm="1">
        <f t="array" ref="C55">IF(M54=1,C54,IF(J54=15,C54,IF(J54=1,IF(K54=0,L54,C54),IF(J54=2,IF(K54=0,INDEX(N54:AC54,1,L54+1),C54),IF(J54=4,IF(K54=0,CHOOSE(L54+1,C54,D54,E54,F54),C54),IF(J54=5,IF(K54=0,MOD(C54+L54,256),C54),IF(J54=6,IF(K54=0,MOD(C54+CHOOSE(L54+1,C54,D54,E54,F54),256),C54),IF(J54=7,IF(K54=0,MOD(C54-L54,256),C54),IF(J54=8,IF(K54=0,MOD(C54-CHOOSE(L54+1,C54,D54,E54,F54),256),C54),IF(J54=12,IF(K54=0,MOD(C54*(IF(L54&gt;=128,CHOOSE(L54-128+1,C54,D54,E54,F54),L54)),256),C54),IF(J54=14,IF(K54=0,_xlfn.BITAND(C54,(IF(L54&gt;=128,CHOOSE(L54-128+1,C54,D54,E54,F54),L54))),C54),IF(J54=16,IF(K54=0,_xlfn.BITOR(C54,(IF(L54&gt;=128,CHOOSE(L54-128+1,C54,D54,E54,F54),L54))),C54),IF(J54=17,IF(K54=0,_xlfn.BITXOR(C54,(IF(L54&gt;=128,CHOOSE(L54-128+1,C54,D54,E54,F54),L54))),C54),IF(J54=18,IF(0=1,QUOTIENT(C54,(IF(L54&gt;=128,CHOOSE(L54-128+1,C54,D54,E54,F54),L54))),IF(0=3,MOD(C54,(IF(L54&gt;=128,CHOOSE(L54-128+1,C54,D54,E54,F54),L54))),C54)),IF(J54=13,C54,C54)))))))))))))))</f>
        <v>10</v>
      </c>
      <c r="D55" cm="1">
        <f t="array" ref="D55">IF(M54=1,D54,IF(J54=15,D54,IF(J54=1,IF(K54=1,L54,D54),IF(J54=2,IF(K54=1,INDEX(N54:AC54,1,L54+1),D54),IF(J54=4,IF(K54=1,CHOOSE(L54+1,C54,D54,E54,F54),D54),IF(J54=5,IF(K54=1,MOD(D54+L54,256),D54),IF(J54=6,IF(K54=1,MOD(D54+CHOOSE(L54+1,C54,D54,E54,F54),256),D54),IF(J54=7,IF(K54=1,MOD(D54-L54,256),D54),IF(J54=8,IF(K54=1,MOD(D54-CHOOSE(L54+1,C54,D54,E54,F54),256),D54),IF(J54=12,IF(K54=1,MOD(D54*(IF(L54&gt;=128,CHOOSE(L54-128+1,C54,D54,E54,F54),L54)),256),D54),IF(J54=14,IF(K54=1,_xlfn.BITAND(D54,(IF(L54&gt;=128,CHOOSE(L54-128+1,C54,D54,E54,F54),L54))),D54),IF(J54=16,IF(K54=1,_xlfn.BITOR(D54,(IF(L54&gt;=128,CHOOSE(L54-128+1,C54,D54,E54,F54),L54))),D54),IF(J54=17,IF(K54=1,_xlfn.BITXOR(D54,(IF(L54&gt;=128,CHOOSE(L54-128+1,C54,D54,E54,F54),L54))),D54),IF(J54=18,IF(1=1,QUOTIENT(C54,(IF(L54&gt;=128,CHOOSE(L54-128+1,C54,D54,E54,F54),L54))),IF(1=3,MOD(C54,(IF(L54&gt;=128,CHOOSE(L54-128+1,C54,D54,E54,F54),L54))),D54)),IF(J54=13,D54,D54)))))))))))))))</f>
        <v>5</v>
      </c>
      <c r="E55" cm="1">
        <f t="array" ref="E55">IF(M54=1,E54,IF(J54=15,E54,IF(J54=1,IF(K54=2,L54,E54),IF(J54=2,IF(K54=2,INDEX(N54:AC54,1,L54+1),E54),IF(J54=4,IF(K54=2,CHOOSE(L54+1,C54,D54,E54,F54),E54),IF(J54=5,IF(K54=2,MOD(E54+L54,256),E54),IF(J54=6,IF(K54=2,MOD(E54+CHOOSE(L54+1,C54,D54,E54,F54),256),E54),IF(J54=7,IF(K54=2,MOD(E54-L54,256),E54),IF(J54=8,IF(K54=2,MOD(E54-CHOOSE(L54+1,C54,D54,E54,F54),256),E54),IF(J54=12,IF(K54=2,MOD(E54*(IF(L54&gt;=128,CHOOSE(L54-128+1,C54,D54,E54,F54),L54)),256),E54),IF(J54=14,IF(K54=2,_xlfn.BITAND(E54,(IF(L54&gt;=128,CHOOSE(L54-128+1,C54,D54,E54,F54),L54))),E54),IF(J54=16,IF(K54=2,_xlfn.BITOR(E54,(IF(L54&gt;=128,CHOOSE(L54-128+1,C54,D54,E54,F54),L54))),E54),IF(J54=17,IF(K54=2,_xlfn.BITXOR(E54,(IF(L54&gt;=128,CHOOSE(L54-128+1,C54,D54,E54,F54),L54))),E54),IF(J54=18,IF(2=1,QUOTIENT(C54,(IF(L54&gt;=128,CHOOSE(L54-128+1,C54,D54,E54,F54),L54))),IF(2=3,MOD(C54,(IF(L54&gt;=128,CHOOSE(L54-128+1,C54,D54,E54,F54),L54))),E54)),IF(J54=13,MOD(E54-1,256),E54)))))))))))))))</f>
        <v>0</v>
      </c>
      <c r="F55" cm="1">
        <f t="array" ref="F55">IF(M54=1,F54,IF(J54=15,F54,IF(J54=1,IF(K54=3,L54,F54),IF(J54=2,IF(K54=3,INDEX(N54:AC54,1,L54+1),F54),IF(J54=4,IF(K54=3,CHOOSE(L54+1,C54,D54,E54,F54),F54),IF(J54=5,IF(K54=3,MOD(F54+L54,256),F54),IF(J54=6,IF(K54=3,MOD(F54+CHOOSE(L54+1,C54,D54,E54,F54),256),F54),IF(J54=7,IF(K54=3,MOD(F54-L54,256),F54),IF(J54=8,IF(K54=3,MOD(F54-CHOOSE(L54+1,C54,D54,E54,F54),256),F54),IF(J54=12,IF(K54=3,MOD(F54*(IF(L54&gt;=128,CHOOSE(L54-128+1,C54,D54,E54,F54),L54)),256),F54),IF(J54=14,IF(K54=3,_xlfn.BITAND(F54,(IF(L54&gt;=128,CHOOSE(L54-128+1,C54,D54,E54,F54),L54))),F54),IF(J54=16,IF(K54=3,_xlfn.BITOR(F54,(IF(L54&gt;=128,CHOOSE(L54-128+1,C54,D54,E54,F54),L54))),F54),IF(J54=17,IF(K54=3,_xlfn.BITXOR(F54,(IF(L54&gt;=128,CHOOSE(L54-128+1,C54,D54,E54,F54),L54))),F54),IF(J54=18,IF(3=1,QUOTIENT(C54,(IF(L54&gt;=128,CHOOSE(L54-128+1,C54,D54,E54,F54),L54))),IF(3=3,MOD(C54,(IF(L54&gt;=128,CHOOSE(L54-128+1,C54,D54,E54,F54),L54))),F54)),IF(J54=13,F54,F54)))))))))))))))</f>
        <v>0</v>
      </c>
      <c r="G55">
        <f t="shared" si="24"/>
        <v>0</v>
      </c>
      <c r="H55">
        <f t="shared" si="25"/>
        <v>0</v>
      </c>
      <c r="I55">
        <f t="shared" si="26"/>
        <v>0</v>
      </c>
      <c r="J55" cm="1">
        <f t="array" ref="J55">INDEX(PROGRAM!$E$2:$E$257, B55+1)</f>
        <v>15</v>
      </c>
      <c r="K55" cm="1">
        <f t="array" ref="K55">INDEX(PROGRAM!$F$2:$F$257, B55+1)</f>
        <v>0</v>
      </c>
      <c r="L55" cm="1">
        <f t="array" ref="L55">INDEX(PROGRAM!$G$2:$G$257, B55+1)</f>
        <v>0</v>
      </c>
      <c r="M55">
        <f t="shared" si="27"/>
        <v>1</v>
      </c>
      <c r="N55">
        <f t="shared" si="28"/>
        <v>0</v>
      </c>
      <c r="O55">
        <f t="shared" si="29"/>
        <v>10</v>
      </c>
      <c r="P55">
        <f t="shared" si="30"/>
        <v>15</v>
      </c>
      <c r="Q55">
        <f t="shared" si="31"/>
        <v>0</v>
      </c>
      <c r="R55">
        <f t="shared" si="32"/>
        <v>0</v>
      </c>
      <c r="S55">
        <f t="shared" si="33"/>
        <v>0</v>
      </c>
      <c r="T55">
        <f t="shared" si="34"/>
        <v>0</v>
      </c>
      <c r="U55">
        <f t="shared" si="35"/>
        <v>5</v>
      </c>
      <c r="V55">
        <f t="shared" si="36"/>
        <v>0</v>
      </c>
      <c r="W55">
        <f t="shared" si="37"/>
        <v>0</v>
      </c>
      <c r="X55">
        <f t="shared" si="38"/>
        <v>3</v>
      </c>
      <c r="Y55">
        <f t="shared" si="39"/>
        <v>0</v>
      </c>
      <c r="Z55">
        <f t="shared" si="40"/>
        <v>0</v>
      </c>
      <c r="AA55">
        <f t="shared" si="41"/>
        <v>0</v>
      </c>
      <c r="AB55">
        <f t="shared" si="42"/>
        <v>0</v>
      </c>
      <c r="AC55">
        <f t="shared" si="43"/>
        <v>0</v>
      </c>
    </row>
    <row r="56" spans="1:29" x14ac:dyDescent="0.2">
      <c r="A56">
        <f t="shared" si="22"/>
        <v>54</v>
      </c>
      <c r="B56">
        <f t="shared" si="23"/>
        <v>4</v>
      </c>
      <c r="C56" cm="1">
        <f t="array" ref="C56">IF(M55=1,C55,IF(J55=15,C55,IF(J55=1,IF(K55=0,L55,C55),IF(J55=2,IF(K55=0,INDEX(N55:AC55,1,L55+1),C55),IF(J55=4,IF(K55=0,CHOOSE(L55+1,C55,D55,E55,F55),C55),IF(J55=5,IF(K55=0,MOD(C55+L55,256),C55),IF(J55=6,IF(K55=0,MOD(C55+CHOOSE(L55+1,C55,D55,E55,F55),256),C55),IF(J55=7,IF(K55=0,MOD(C55-L55,256),C55),IF(J55=8,IF(K55=0,MOD(C55-CHOOSE(L55+1,C55,D55,E55,F55),256),C55),IF(J55=12,IF(K55=0,MOD(C55*(IF(L55&gt;=128,CHOOSE(L55-128+1,C55,D55,E55,F55),L55)),256),C55),IF(J55=14,IF(K55=0,_xlfn.BITAND(C55,(IF(L55&gt;=128,CHOOSE(L55-128+1,C55,D55,E55,F55),L55))),C55),IF(J55=16,IF(K55=0,_xlfn.BITOR(C55,(IF(L55&gt;=128,CHOOSE(L55-128+1,C55,D55,E55,F55),L55))),C55),IF(J55=17,IF(K55=0,_xlfn.BITXOR(C55,(IF(L55&gt;=128,CHOOSE(L55-128+1,C55,D55,E55,F55),L55))),C55),IF(J55=18,IF(0=1,QUOTIENT(C55,(IF(L55&gt;=128,CHOOSE(L55-128+1,C55,D55,E55,F55),L55))),IF(0=3,MOD(C55,(IF(L55&gt;=128,CHOOSE(L55-128+1,C55,D55,E55,F55),L55))),C55)),IF(J55=13,C55,C55)))))))))))))))</f>
        <v>10</v>
      </c>
      <c r="D56" cm="1">
        <f t="array" ref="D56">IF(M55=1,D55,IF(J55=15,D55,IF(J55=1,IF(K55=1,L55,D55),IF(J55=2,IF(K55=1,INDEX(N55:AC55,1,L55+1),D55),IF(J55=4,IF(K55=1,CHOOSE(L55+1,C55,D55,E55,F55),D55),IF(J55=5,IF(K55=1,MOD(D55+L55,256),D55),IF(J55=6,IF(K55=1,MOD(D55+CHOOSE(L55+1,C55,D55,E55,F55),256),D55),IF(J55=7,IF(K55=1,MOD(D55-L55,256),D55),IF(J55=8,IF(K55=1,MOD(D55-CHOOSE(L55+1,C55,D55,E55,F55),256),D55),IF(J55=12,IF(K55=1,MOD(D55*(IF(L55&gt;=128,CHOOSE(L55-128+1,C55,D55,E55,F55),L55)),256),D55),IF(J55=14,IF(K55=1,_xlfn.BITAND(D55,(IF(L55&gt;=128,CHOOSE(L55-128+1,C55,D55,E55,F55),L55))),D55),IF(J55=16,IF(K55=1,_xlfn.BITOR(D55,(IF(L55&gt;=128,CHOOSE(L55-128+1,C55,D55,E55,F55),L55))),D55),IF(J55=17,IF(K55=1,_xlfn.BITXOR(D55,(IF(L55&gt;=128,CHOOSE(L55-128+1,C55,D55,E55,F55),L55))),D55),IF(J55=18,IF(1=1,QUOTIENT(C55,(IF(L55&gt;=128,CHOOSE(L55-128+1,C55,D55,E55,F55),L55))),IF(1=3,MOD(C55,(IF(L55&gt;=128,CHOOSE(L55-128+1,C55,D55,E55,F55),L55))),D55)),IF(J55=13,D55,D55)))))))))))))))</f>
        <v>5</v>
      </c>
      <c r="E56" cm="1">
        <f t="array" ref="E56">IF(M55=1,E55,IF(J55=15,E55,IF(J55=1,IF(K55=2,L55,E55),IF(J55=2,IF(K55=2,INDEX(N55:AC55,1,L55+1),E55),IF(J55=4,IF(K55=2,CHOOSE(L55+1,C55,D55,E55,F55),E55),IF(J55=5,IF(K55=2,MOD(E55+L55,256),E55),IF(J55=6,IF(K55=2,MOD(E55+CHOOSE(L55+1,C55,D55,E55,F55),256),E55),IF(J55=7,IF(K55=2,MOD(E55-L55,256),E55),IF(J55=8,IF(K55=2,MOD(E55-CHOOSE(L55+1,C55,D55,E55,F55),256),E55),IF(J55=12,IF(K55=2,MOD(E55*(IF(L55&gt;=128,CHOOSE(L55-128+1,C55,D55,E55,F55),L55)),256),E55),IF(J55=14,IF(K55=2,_xlfn.BITAND(E55,(IF(L55&gt;=128,CHOOSE(L55-128+1,C55,D55,E55,F55),L55))),E55),IF(J55=16,IF(K55=2,_xlfn.BITOR(E55,(IF(L55&gt;=128,CHOOSE(L55-128+1,C55,D55,E55,F55),L55))),E55),IF(J55=17,IF(K55=2,_xlfn.BITXOR(E55,(IF(L55&gt;=128,CHOOSE(L55-128+1,C55,D55,E55,F55),L55))),E55),IF(J55=18,IF(2=1,QUOTIENT(C55,(IF(L55&gt;=128,CHOOSE(L55-128+1,C55,D55,E55,F55),L55))),IF(2=3,MOD(C55,(IF(L55&gt;=128,CHOOSE(L55-128+1,C55,D55,E55,F55),L55))),E55)),IF(J55=13,MOD(E55-1,256),E55)))))))))))))))</f>
        <v>0</v>
      </c>
      <c r="F56" cm="1">
        <f t="array" ref="F56">IF(M55=1,F55,IF(J55=15,F55,IF(J55=1,IF(K55=3,L55,F55),IF(J55=2,IF(K55=3,INDEX(N55:AC55,1,L55+1),F55),IF(J55=4,IF(K55=3,CHOOSE(L55+1,C55,D55,E55,F55),F55),IF(J55=5,IF(K55=3,MOD(F55+L55,256),F55),IF(J55=6,IF(K55=3,MOD(F55+CHOOSE(L55+1,C55,D55,E55,F55),256),F55),IF(J55=7,IF(K55=3,MOD(F55-L55,256),F55),IF(J55=8,IF(K55=3,MOD(F55-CHOOSE(L55+1,C55,D55,E55,F55),256),F55),IF(J55=12,IF(K55=3,MOD(F55*(IF(L55&gt;=128,CHOOSE(L55-128+1,C55,D55,E55,F55),L55)),256),F55),IF(J55=14,IF(K55=3,_xlfn.BITAND(F55,(IF(L55&gt;=128,CHOOSE(L55-128+1,C55,D55,E55,F55),L55))),F55),IF(J55=16,IF(K55=3,_xlfn.BITOR(F55,(IF(L55&gt;=128,CHOOSE(L55-128+1,C55,D55,E55,F55),L55))),F55),IF(J55=17,IF(K55=3,_xlfn.BITXOR(F55,(IF(L55&gt;=128,CHOOSE(L55-128+1,C55,D55,E55,F55),L55))),F55),IF(J55=18,IF(3=1,QUOTIENT(C55,(IF(L55&gt;=128,CHOOSE(L55-128+1,C55,D55,E55,F55),L55))),IF(3=3,MOD(C55,(IF(L55&gt;=128,CHOOSE(L55-128+1,C55,D55,E55,F55),L55))),F55)),IF(J55=13,F55,F55)))))))))))))))</f>
        <v>0</v>
      </c>
      <c r="G56">
        <f t="shared" si="24"/>
        <v>0</v>
      </c>
      <c r="H56">
        <f t="shared" si="25"/>
        <v>0</v>
      </c>
      <c r="I56">
        <f t="shared" si="26"/>
        <v>0</v>
      </c>
      <c r="J56" cm="1">
        <f t="array" ref="J56">INDEX(PROGRAM!$E$2:$E$257, B56+1)</f>
        <v>15</v>
      </c>
      <c r="K56" cm="1">
        <f t="array" ref="K56">INDEX(PROGRAM!$F$2:$F$257, B56+1)</f>
        <v>0</v>
      </c>
      <c r="L56" cm="1">
        <f t="array" ref="L56">INDEX(PROGRAM!$G$2:$G$257, B56+1)</f>
        <v>0</v>
      </c>
      <c r="M56">
        <f t="shared" si="27"/>
        <v>1</v>
      </c>
      <c r="N56">
        <f t="shared" si="28"/>
        <v>0</v>
      </c>
      <c r="O56">
        <f t="shared" si="29"/>
        <v>10</v>
      </c>
      <c r="P56">
        <f t="shared" si="30"/>
        <v>15</v>
      </c>
      <c r="Q56">
        <f t="shared" si="31"/>
        <v>0</v>
      </c>
      <c r="R56">
        <f t="shared" si="32"/>
        <v>0</v>
      </c>
      <c r="S56">
        <f t="shared" si="33"/>
        <v>0</v>
      </c>
      <c r="T56">
        <f t="shared" si="34"/>
        <v>0</v>
      </c>
      <c r="U56">
        <f t="shared" si="35"/>
        <v>5</v>
      </c>
      <c r="V56">
        <f t="shared" si="36"/>
        <v>0</v>
      </c>
      <c r="W56">
        <f t="shared" si="37"/>
        <v>0</v>
      </c>
      <c r="X56">
        <f t="shared" si="38"/>
        <v>3</v>
      </c>
      <c r="Y56">
        <f t="shared" si="39"/>
        <v>0</v>
      </c>
      <c r="Z56">
        <f t="shared" si="40"/>
        <v>0</v>
      </c>
      <c r="AA56">
        <f t="shared" si="41"/>
        <v>0</v>
      </c>
      <c r="AB56">
        <f t="shared" si="42"/>
        <v>0</v>
      </c>
      <c r="AC56">
        <f t="shared" si="43"/>
        <v>0</v>
      </c>
    </row>
    <row r="57" spans="1:29" x14ac:dyDescent="0.2">
      <c r="A57">
        <f t="shared" si="22"/>
        <v>55</v>
      </c>
      <c r="B57">
        <f t="shared" si="23"/>
        <v>4</v>
      </c>
      <c r="C57" cm="1">
        <f t="array" ref="C57">IF(M56=1,C56,IF(J56=15,C56,IF(J56=1,IF(K56=0,L56,C56),IF(J56=2,IF(K56=0,INDEX(N56:AC56,1,L56+1),C56),IF(J56=4,IF(K56=0,CHOOSE(L56+1,C56,D56,E56,F56),C56),IF(J56=5,IF(K56=0,MOD(C56+L56,256),C56),IF(J56=6,IF(K56=0,MOD(C56+CHOOSE(L56+1,C56,D56,E56,F56),256),C56),IF(J56=7,IF(K56=0,MOD(C56-L56,256),C56),IF(J56=8,IF(K56=0,MOD(C56-CHOOSE(L56+1,C56,D56,E56,F56),256),C56),IF(J56=12,IF(K56=0,MOD(C56*(IF(L56&gt;=128,CHOOSE(L56-128+1,C56,D56,E56,F56),L56)),256),C56),IF(J56=14,IF(K56=0,_xlfn.BITAND(C56,(IF(L56&gt;=128,CHOOSE(L56-128+1,C56,D56,E56,F56),L56))),C56),IF(J56=16,IF(K56=0,_xlfn.BITOR(C56,(IF(L56&gt;=128,CHOOSE(L56-128+1,C56,D56,E56,F56),L56))),C56),IF(J56=17,IF(K56=0,_xlfn.BITXOR(C56,(IF(L56&gt;=128,CHOOSE(L56-128+1,C56,D56,E56,F56),L56))),C56),IF(J56=18,IF(0=1,QUOTIENT(C56,(IF(L56&gt;=128,CHOOSE(L56-128+1,C56,D56,E56,F56),L56))),IF(0=3,MOD(C56,(IF(L56&gt;=128,CHOOSE(L56-128+1,C56,D56,E56,F56),L56))),C56)),IF(J56=13,C56,C56)))))))))))))))</f>
        <v>10</v>
      </c>
      <c r="D57" cm="1">
        <f t="array" ref="D57">IF(M56=1,D56,IF(J56=15,D56,IF(J56=1,IF(K56=1,L56,D56),IF(J56=2,IF(K56=1,INDEX(N56:AC56,1,L56+1),D56),IF(J56=4,IF(K56=1,CHOOSE(L56+1,C56,D56,E56,F56),D56),IF(J56=5,IF(K56=1,MOD(D56+L56,256),D56),IF(J56=6,IF(K56=1,MOD(D56+CHOOSE(L56+1,C56,D56,E56,F56),256),D56),IF(J56=7,IF(K56=1,MOD(D56-L56,256),D56),IF(J56=8,IF(K56=1,MOD(D56-CHOOSE(L56+1,C56,D56,E56,F56),256),D56),IF(J56=12,IF(K56=1,MOD(D56*(IF(L56&gt;=128,CHOOSE(L56-128+1,C56,D56,E56,F56),L56)),256),D56),IF(J56=14,IF(K56=1,_xlfn.BITAND(D56,(IF(L56&gt;=128,CHOOSE(L56-128+1,C56,D56,E56,F56),L56))),D56),IF(J56=16,IF(K56=1,_xlfn.BITOR(D56,(IF(L56&gt;=128,CHOOSE(L56-128+1,C56,D56,E56,F56),L56))),D56),IF(J56=17,IF(K56=1,_xlfn.BITXOR(D56,(IF(L56&gt;=128,CHOOSE(L56-128+1,C56,D56,E56,F56),L56))),D56),IF(J56=18,IF(1=1,QUOTIENT(C56,(IF(L56&gt;=128,CHOOSE(L56-128+1,C56,D56,E56,F56),L56))),IF(1=3,MOD(C56,(IF(L56&gt;=128,CHOOSE(L56-128+1,C56,D56,E56,F56),L56))),D56)),IF(J56=13,D56,D56)))))))))))))))</f>
        <v>5</v>
      </c>
      <c r="E57" cm="1">
        <f t="array" ref="E57">IF(M56=1,E56,IF(J56=15,E56,IF(J56=1,IF(K56=2,L56,E56),IF(J56=2,IF(K56=2,INDEX(N56:AC56,1,L56+1),E56),IF(J56=4,IF(K56=2,CHOOSE(L56+1,C56,D56,E56,F56),E56),IF(J56=5,IF(K56=2,MOD(E56+L56,256),E56),IF(J56=6,IF(K56=2,MOD(E56+CHOOSE(L56+1,C56,D56,E56,F56),256),E56),IF(J56=7,IF(K56=2,MOD(E56-L56,256),E56),IF(J56=8,IF(K56=2,MOD(E56-CHOOSE(L56+1,C56,D56,E56,F56),256),E56),IF(J56=12,IF(K56=2,MOD(E56*(IF(L56&gt;=128,CHOOSE(L56-128+1,C56,D56,E56,F56),L56)),256),E56),IF(J56=14,IF(K56=2,_xlfn.BITAND(E56,(IF(L56&gt;=128,CHOOSE(L56-128+1,C56,D56,E56,F56),L56))),E56),IF(J56=16,IF(K56=2,_xlfn.BITOR(E56,(IF(L56&gt;=128,CHOOSE(L56-128+1,C56,D56,E56,F56),L56))),E56),IF(J56=17,IF(K56=2,_xlfn.BITXOR(E56,(IF(L56&gt;=128,CHOOSE(L56-128+1,C56,D56,E56,F56),L56))),E56),IF(J56=18,IF(2=1,QUOTIENT(C56,(IF(L56&gt;=128,CHOOSE(L56-128+1,C56,D56,E56,F56),L56))),IF(2=3,MOD(C56,(IF(L56&gt;=128,CHOOSE(L56-128+1,C56,D56,E56,F56),L56))),E56)),IF(J56=13,MOD(E56-1,256),E56)))))))))))))))</f>
        <v>0</v>
      </c>
      <c r="F57" cm="1">
        <f t="array" ref="F57">IF(M56=1,F56,IF(J56=15,F56,IF(J56=1,IF(K56=3,L56,F56),IF(J56=2,IF(K56=3,INDEX(N56:AC56,1,L56+1),F56),IF(J56=4,IF(K56=3,CHOOSE(L56+1,C56,D56,E56,F56),F56),IF(J56=5,IF(K56=3,MOD(F56+L56,256),F56),IF(J56=6,IF(K56=3,MOD(F56+CHOOSE(L56+1,C56,D56,E56,F56),256),F56),IF(J56=7,IF(K56=3,MOD(F56-L56,256),F56),IF(J56=8,IF(K56=3,MOD(F56-CHOOSE(L56+1,C56,D56,E56,F56),256),F56),IF(J56=12,IF(K56=3,MOD(F56*(IF(L56&gt;=128,CHOOSE(L56-128+1,C56,D56,E56,F56),L56)),256),F56),IF(J56=14,IF(K56=3,_xlfn.BITAND(F56,(IF(L56&gt;=128,CHOOSE(L56-128+1,C56,D56,E56,F56),L56))),F56),IF(J56=16,IF(K56=3,_xlfn.BITOR(F56,(IF(L56&gt;=128,CHOOSE(L56-128+1,C56,D56,E56,F56),L56))),F56),IF(J56=17,IF(K56=3,_xlfn.BITXOR(F56,(IF(L56&gt;=128,CHOOSE(L56-128+1,C56,D56,E56,F56),L56))),F56),IF(J56=18,IF(3=1,QUOTIENT(C56,(IF(L56&gt;=128,CHOOSE(L56-128+1,C56,D56,E56,F56),L56))),IF(3=3,MOD(C56,(IF(L56&gt;=128,CHOOSE(L56-128+1,C56,D56,E56,F56),L56))),F56)),IF(J56=13,F56,F56)))))))))))))))</f>
        <v>0</v>
      </c>
      <c r="G57">
        <f t="shared" si="24"/>
        <v>0</v>
      </c>
      <c r="H57">
        <f t="shared" si="25"/>
        <v>0</v>
      </c>
      <c r="I57">
        <f t="shared" si="26"/>
        <v>0</v>
      </c>
      <c r="J57" cm="1">
        <f t="array" ref="J57">INDEX(PROGRAM!$E$2:$E$257, B57+1)</f>
        <v>15</v>
      </c>
      <c r="K57" cm="1">
        <f t="array" ref="K57">INDEX(PROGRAM!$F$2:$F$257, B57+1)</f>
        <v>0</v>
      </c>
      <c r="L57" cm="1">
        <f t="array" ref="L57">INDEX(PROGRAM!$G$2:$G$257, B57+1)</f>
        <v>0</v>
      </c>
      <c r="M57">
        <f t="shared" si="27"/>
        <v>1</v>
      </c>
      <c r="N57">
        <f t="shared" si="28"/>
        <v>0</v>
      </c>
      <c r="O57">
        <f t="shared" si="29"/>
        <v>10</v>
      </c>
      <c r="P57">
        <f t="shared" si="30"/>
        <v>15</v>
      </c>
      <c r="Q57">
        <f t="shared" si="31"/>
        <v>0</v>
      </c>
      <c r="R57">
        <f t="shared" si="32"/>
        <v>0</v>
      </c>
      <c r="S57">
        <f t="shared" si="33"/>
        <v>0</v>
      </c>
      <c r="T57">
        <f t="shared" si="34"/>
        <v>0</v>
      </c>
      <c r="U57">
        <f t="shared" si="35"/>
        <v>5</v>
      </c>
      <c r="V57">
        <f t="shared" si="36"/>
        <v>0</v>
      </c>
      <c r="W57">
        <f t="shared" si="37"/>
        <v>0</v>
      </c>
      <c r="X57">
        <f t="shared" si="38"/>
        <v>3</v>
      </c>
      <c r="Y57">
        <f t="shared" si="39"/>
        <v>0</v>
      </c>
      <c r="Z57">
        <f t="shared" si="40"/>
        <v>0</v>
      </c>
      <c r="AA57">
        <f t="shared" si="41"/>
        <v>0</v>
      </c>
      <c r="AB57">
        <f t="shared" si="42"/>
        <v>0</v>
      </c>
      <c r="AC57">
        <f t="shared" si="43"/>
        <v>0</v>
      </c>
    </row>
    <row r="58" spans="1:29" x14ac:dyDescent="0.2">
      <c r="A58">
        <f t="shared" si="22"/>
        <v>56</v>
      </c>
      <c r="B58">
        <f t="shared" si="23"/>
        <v>4</v>
      </c>
      <c r="C58" cm="1">
        <f t="array" ref="C58">IF(M57=1,C57,IF(J57=15,C57,IF(J57=1,IF(K57=0,L57,C57),IF(J57=2,IF(K57=0,INDEX(N57:AC57,1,L57+1),C57),IF(J57=4,IF(K57=0,CHOOSE(L57+1,C57,D57,E57,F57),C57),IF(J57=5,IF(K57=0,MOD(C57+L57,256),C57),IF(J57=6,IF(K57=0,MOD(C57+CHOOSE(L57+1,C57,D57,E57,F57),256),C57),IF(J57=7,IF(K57=0,MOD(C57-L57,256),C57),IF(J57=8,IF(K57=0,MOD(C57-CHOOSE(L57+1,C57,D57,E57,F57),256),C57),IF(J57=12,IF(K57=0,MOD(C57*(IF(L57&gt;=128,CHOOSE(L57-128+1,C57,D57,E57,F57),L57)),256),C57),IF(J57=14,IF(K57=0,_xlfn.BITAND(C57,(IF(L57&gt;=128,CHOOSE(L57-128+1,C57,D57,E57,F57),L57))),C57),IF(J57=16,IF(K57=0,_xlfn.BITOR(C57,(IF(L57&gt;=128,CHOOSE(L57-128+1,C57,D57,E57,F57),L57))),C57),IF(J57=17,IF(K57=0,_xlfn.BITXOR(C57,(IF(L57&gt;=128,CHOOSE(L57-128+1,C57,D57,E57,F57),L57))),C57),IF(J57=18,IF(0=1,QUOTIENT(C57,(IF(L57&gt;=128,CHOOSE(L57-128+1,C57,D57,E57,F57),L57))),IF(0=3,MOD(C57,(IF(L57&gt;=128,CHOOSE(L57-128+1,C57,D57,E57,F57),L57))),C57)),IF(J57=13,C57,C57)))))))))))))))</f>
        <v>10</v>
      </c>
      <c r="D58" cm="1">
        <f t="array" ref="D58">IF(M57=1,D57,IF(J57=15,D57,IF(J57=1,IF(K57=1,L57,D57),IF(J57=2,IF(K57=1,INDEX(N57:AC57,1,L57+1),D57),IF(J57=4,IF(K57=1,CHOOSE(L57+1,C57,D57,E57,F57),D57),IF(J57=5,IF(K57=1,MOD(D57+L57,256),D57),IF(J57=6,IF(K57=1,MOD(D57+CHOOSE(L57+1,C57,D57,E57,F57),256),D57),IF(J57=7,IF(K57=1,MOD(D57-L57,256),D57),IF(J57=8,IF(K57=1,MOD(D57-CHOOSE(L57+1,C57,D57,E57,F57),256),D57),IF(J57=12,IF(K57=1,MOD(D57*(IF(L57&gt;=128,CHOOSE(L57-128+1,C57,D57,E57,F57),L57)),256),D57),IF(J57=14,IF(K57=1,_xlfn.BITAND(D57,(IF(L57&gt;=128,CHOOSE(L57-128+1,C57,D57,E57,F57),L57))),D57),IF(J57=16,IF(K57=1,_xlfn.BITOR(D57,(IF(L57&gt;=128,CHOOSE(L57-128+1,C57,D57,E57,F57),L57))),D57),IF(J57=17,IF(K57=1,_xlfn.BITXOR(D57,(IF(L57&gt;=128,CHOOSE(L57-128+1,C57,D57,E57,F57),L57))),D57),IF(J57=18,IF(1=1,QUOTIENT(C57,(IF(L57&gt;=128,CHOOSE(L57-128+1,C57,D57,E57,F57),L57))),IF(1=3,MOD(C57,(IF(L57&gt;=128,CHOOSE(L57-128+1,C57,D57,E57,F57),L57))),D57)),IF(J57=13,D57,D57)))))))))))))))</f>
        <v>5</v>
      </c>
      <c r="E58" cm="1">
        <f t="array" ref="E58">IF(M57=1,E57,IF(J57=15,E57,IF(J57=1,IF(K57=2,L57,E57),IF(J57=2,IF(K57=2,INDEX(N57:AC57,1,L57+1),E57),IF(J57=4,IF(K57=2,CHOOSE(L57+1,C57,D57,E57,F57),E57),IF(J57=5,IF(K57=2,MOD(E57+L57,256),E57),IF(J57=6,IF(K57=2,MOD(E57+CHOOSE(L57+1,C57,D57,E57,F57),256),E57),IF(J57=7,IF(K57=2,MOD(E57-L57,256),E57),IF(J57=8,IF(K57=2,MOD(E57-CHOOSE(L57+1,C57,D57,E57,F57),256),E57),IF(J57=12,IF(K57=2,MOD(E57*(IF(L57&gt;=128,CHOOSE(L57-128+1,C57,D57,E57,F57),L57)),256),E57),IF(J57=14,IF(K57=2,_xlfn.BITAND(E57,(IF(L57&gt;=128,CHOOSE(L57-128+1,C57,D57,E57,F57),L57))),E57),IF(J57=16,IF(K57=2,_xlfn.BITOR(E57,(IF(L57&gt;=128,CHOOSE(L57-128+1,C57,D57,E57,F57),L57))),E57),IF(J57=17,IF(K57=2,_xlfn.BITXOR(E57,(IF(L57&gt;=128,CHOOSE(L57-128+1,C57,D57,E57,F57),L57))),E57),IF(J57=18,IF(2=1,QUOTIENT(C57,(IF(L57&gt;=128,CHOOSE(L57-128+1,C57,D57,E57,F57),L57))),IF(2=3,MOD(C57,(IF(L57&gt;=128,CHOOSE(L57-128+1,C57,D57,E57,F57),L57))),E57)),IF(J57=13,MOD(E57-1,256),E57)))))))))))))))</f>
        <v>0</v>
      </c>
      <c r="F58" cm="1">
        <f t="array" ref="F58">IF(M57=1,F57,IF(J57=15,F57,IF(J57=1,IF(K57=3,L57,F57),IF(J57=2,IF(K57=3,INDEX(N57:AC57,1,L57+1),F57),IF(J57=4,IF(K57=3,CHOOSE(L57+1,C57,D57,E57,F57),F57),IF(J57=5,IF(K57=3,MOD(F57+L57,256),F57),IF(J57=6,IF(K57=3,MOD(F57+CHOOSE(L57+1,C57,D57,E57,F57),256),F57),IF(J57=7,IF(K57=3,MOD(F57-L57,256),F57),IF(J57=8,IF(K57=3,MOD(F57-CHOOSE(L57+1,C57,D57,E57,F57),256),F57),IF(J57=12,IF(K57=3,MOD(F57*(IF(L57&gt;=128,CHOOSE(L57-128+1,C57,D57,E57,F57),L57)),256),F57),IF(J57=14,IF(K57=3,_xlfn.BITAND(F57,(IF(L57&gt;=128,CHOOSE(L57-128+1,C57,D57,E57,F57),L57))),F57),IF(J57=16,IF(K57=3,_xlfn.BITOR(F57,(IF(L57&gt;=128,CHOOSE(L57-128+1,C57,D57,E57,F57),L57))),F57),IF(J57=17,IF(K57=3,_xlfn.BITXOR(F57,(IF(L57&gt;=128,CHOOSE(L57-128+1,C57,D57,E57,F57),L57))),F57),IF(J57=18,IF(3=1,QUOTIENT(C57,(IF(L57&gt;=128,CHOOSE(L57-128+1,C57,D57,E57,F57),L57))),IF(3=3,MOD(C57,(IF(L57&gt;=128,CHOOSE(L57-128+1,C57,D57,E57,F57),L57))),F57)),IF(J57=13,F57,F57)))))))))))))))</f>
        <v>0</v>
      </c>
      <c r="G58">
        <f t="shared" si="24"/>
        <v>0</v>
      </c>
      <c r="H58">
        <f t="shared" si="25"/>
        <v>0</v>
      </c>
      <c r="I58">
        <f t="shared" si="26"/>
        <v>0</v>
      </c>
      <c r="J58" cm="1">
        <f t="array" ref="J58">INDEX(PROGRAM!$E$2:$E$257, B58+1)</f>
        <v>15</v>
      </c>
      <c r="K58" cm="1">
        <f t="array" ref="K58">INDEX(PROGRAM!$F$2:$F$257, B58+1)</f>
        <v>0</v>
      </c>
      <c r="L58" cm="1">
        <f t="array" ref="L58">INDEX(PROGRAM!$G$2:$G$257, B58+1)</f>
        <v>0</v>
      </c>
      <c r="M58">
        <f t="shared" si="27"/>
        <v>1</v>
      </c>
      <c r="N58">
        <f t="shared" si="28"/>
        <v>0</v>
      </c>
      <c r="O58">
        <f t="shared" si="29"/>
        <v>10</v>
      </c>
      <c r="P58">
        <f t="shared" si="30"/>
        <v>15</v>
      </c>
      <c r="Q58">
        <f t="shared" si="31"/>
        <v>0</v>
      </c>
      <c r="R58">
        <f t="shared" si="32"/>
        <v>0</v>
      </c>
      <c r="S58">
        <f t="shared" si="33"/>
        <v>0</v>
      </c>
      <c r="T58">
        <f t="shared" si="34"/>
        <v>0</v>
      </c>
      <c r="U58">
        <f t="shared" si="35"/>
        <v>5</v>
      </c>
      <c r="V58">
        <f t="shared" si="36"/>
        <v>0</v>
      </c>
      <c r="W58">
        <f t="shared" si="37"/>
        <v>0</v>
      </c>
      <c r="X58">
        <f t="shared" si="38"/>
        <v>3</v>
      </c>
      <c r="Y58">
        <f t="shared" si="39"/>
        <v>0</v>
      </c>
      <c r="Z58">
        <f t="shared" si="40"/>
        <v>0</v>
      </c>
      <c r="AA58">
        <f t="shared" si="41"/>
        <v>0</v>
      </c>
      <c r="AB58">
        <f t="shared" si="42"/>
        <v>0</v>
      </c>
      <c r="AC58">
        <f t="shared" si="43"/>
        <v>0</v>
      </c>
    </row>
    <row r="59" spans="1:29" x14ac:dyDescent="0.2">
      <c r="A59">
        <f t="shared" si="22"/>
        <v>57</v>
      </c>
      <c r="B59">
        <f t="shared" si="23"/>
        <v>4</v>
      </c>
      <c r="C59" cm="1">
        <f t="array" ref="C59">IF(M58=1,C58,IF(J58=15,C58,IF(J58=1,IF(K58=0,L58,C58),IF(J58=2,IF(K58=0,INDEX(N58:AC58,1,L58+1),C58),IF(J58=4,IF(K58=0,CHOOSE(L58+1,C58,D58,E58,F58),C58),IF(J58=5,IF(K58=0,MOD(C58+L58,256),C58),IF(J58=6,IF(K58=0,MOD(C58+CHOOSE(L58+1,C58,D58,E58,F58),256),C58),IF(J58=7,IF(K58=0,MOD(C58-L58,256),C58),IF(J58=8,IF(K58=0,MOD(C58-CHOOSE(L58+1,C58,D58,E58,F58),256),C58),IF(J58=12,IF(K58=0,MOD(C58*(IF(L58&gt;=128,CHOOSE(L58-128+1,C58,D58,E58,F58),L58)),256),C58),IF(J58=14,IF(K58=0,_xlfn.BITAND(C58,(IF(L58&gt;=128,CHOOSE(L58-128+1,C58,D58,E58,F58),L58))),C58),IF(J58=16,IF(K58=0,_xlfn.BITOR(C58,(IF(L58&gt;=128,CHOOSE(L58-128+1,C58,D58,E58,F58),L58))),C58),IF(J58=17,IF(K58=0,_xlfn.BITXOR(C58,(IF(L58&gt;=128,CHOOSE(L58-128+1,C58,D58,E58,F58),L58))),C58),IF(J58=18,IF(0=1,QUOTIENT(C58,(IF(L58&gt;=128,CHOOSE(L58-128+1,C58,D58,E58,F58),L58))),IF(0=3,MOD(C58,(IF(L58&gt;=128,CHOOSE(L58-128+1,C58,D58,E58,F58),L58))),C58)),IF(J58=13,C58,C58)))))))))))))))</f>
        <v>10</v>
      </c>
      <c r="D59" cm="1">
        <f t="array" ref="D59">IF(M58=1,D58,IF(J58=15,D58,IF(J58=1,IF(K58=1,L58,D58),IF(J58=2,IF(K58=1,INDEX(N58:AC58,1,L58+1),D58),IF(J58=4,IF(K58=1,CHOOSE(L58+1,C58,D58,E58,F58),D58),IF(J58=5,IF(K58=1,MOD(D58+L58,256),D58),IF(J58=6,IF(K58=1,MOD(D58+CHOOSE(L58+1,C58,D58,E58,F58),256),D58),IF(J58=7,IF(K58=1,MOD(D58-L58,256),D58),IF(J58=8,IF(K58=1,MOD(D58-CHOOSE(L58+1,C58,D58,E58,F58),256),D58),IF(J58=12,IF(K58=1,MOD(D58*(IF(L58&gt;=128,CHOOSE(L58-128+1,C58,D58,E58,F58),L58)),256),D58),IF(J58=14,IF(K58=1,_xlfn.BITAND(D58,(IF(L58&gt;=128,CHOOSE(L58-128+1,C58,D58,E58,F58),L58))),D58),IF(J58=16,IF(K58=1,_xlfn.BITOR(D58,(IF(L58&gt;=128,CHOOSE(L58-128+1,C58,D58,E58,F58),L58))),D58),IF(J58=17,IF(K58=1,_xlfn.BITXOR(D58,(IF(L58&gt;=128,CHOOSE(L58-128+1,C58,D58,E58,F58),L58))),D58),IF(J58=18,IF(1=1,QUOTIENT(C58,(IF(L58&gt;=128,CHOOSE(L58-128+1,C58,D58,E58,F58),L58))),IF(1=3,MOD(C58,(IF(L58&gt;=128,CHOOSE(L58-128+1,C58,D58,E58,F58),L58))),D58)),IF(J58=13,D58,D58)))))))))))))))</f>
        <v>5</v>
      </c>
      <c r="E59" cm="1">
        <f t="array" ref="E59">IF(M58=1,E58,IF(J58=15,E58,IF(J58=1,IF(K58=2,L58,E58),IF(J58=2,IF(K58=2,INDEX(N58:AC58,1,L58+1),E58),IF(J58=4,IF(K58=2,CHOOSE(L58+1,C58,D58,E58,F58),E58),IF(J58=5,IF(K58=2,MOD(E58+L58,256),E58),IF(J58=6,IF(K58=2,MOD(E58+CHOOSE(L58+1,C58,D58,E58,F58),256),E58),IF(J58=7,IF(K58=2,MOD(E58-L58,256),E58),IF(J58=8,IF(K58=2,MOD(E58-CHOOSE(L58+1,C58,D58,E58,F58),256),E58),IF(J58=12,IF(K58=2,MOD(E58*(IF(L58&gt;=128,CHOOSE(L58-128+1,C58,D58,E58,F58),L58)),256),E58),IF(J58=14,IF(K58=2,_xlfn.BITAND(E58,(IF(L58&gt;=128,CHOOSE(L58-128+1,C58,D58,E58,F58),L58))),E58),IF(J58=16,IF(K58=2,_xlfn.BITOR(E58,(IF(L58&gt;=128,CHOOSE(L58-128+1,C58,D58,E58,F58),L58))),E58),IF(J58=17,IF(K58=2,_xlfn.BITXOR(E58,(IF(L58&gt;=128,CHOOSE(L58-128+1,C58,D58,E58,F58),L58))),E58),IF(J58=18,IF(2=1,QUOTIENT(C58,(IF(L58&gt;=128,CHOOSE(L58-128+1,C58,D58,E58,F58),L58))),IF(2=3,MOD(C58,(IF(L58&gt;=128,CHOOSE(L58-128+1,C58,D58,E58,F58),L58))),E58)),IF(J58=13,MOD(E58-1,256),E58)))))))))))))))</f>
        <v>0</v>
      </c>
      <c r="F59" cm="1">
        <f t="array" ref="F59">IF(M58=1,F58,IF(J58=15,F58,IF(J58=1,IF(K58=3,L58,F58),IF(J58=2,IF(K58=3,INDEX(N58:AC58,1,L58+1),F58),IF(J58=4,IF(K58=3,CHOOSE(L58+1,C58,D58,E58,F58),F58),IF(J58=5,IF(K58=3,MOD(F58+L58,256),F58),IF(J58=6,IF(K58=3,MOD(F58+CHOOSE(L58+1,C58,D58,E58,F58),256),F58),IF(J58=7,IF(K58=3,MOD(F58-L58,256),F58),IF(J58=8,IF(K58=3,MOD(F58-CHOOSE(L58+1,C58,D58,E58,F58),256),F58),IF(J58=12,IF(K58=3,MOD(F58*(IF(L58&gt;=128,CHOOSE(L58-128+1,C58,D58,E58,F58),L58)),256),F58),IF(J58=14,IF(K58=3,_xlfn.BITAND(F58,(IF(L58&gt;=128,CHOOSE(L58-128+1,C58,D58,E58,F58),L58))),F58),IF(J58=16,IF(K58=3,_xlfn.BITOR(F58,(IF(L58&gt;=128,CHOOSE(L58-128+1,C58,D58,E58,F58),L58))),F58),IF(J58=17,IF(K58=3,_xlfn.BITXOR(F58,(IF(L58&gt;=128,CHOOSE(L58-128+1,C58,D58,E58,F58),L58))),F58),IF(J58=18,IF(3=1,QUOTIENT(C58,(IF(L58&gt;=128,CHOOSE(L58-128+1,C58,D58,E58,F58),L58))),IF(3=3,MOD(C58,(IF(L58&gt;=128,CHOOSE(L58-128+1,C58,D58,E58,F58),L58))),F58)),IF(J58=13,F58,F58)))))))))))))))</f>
        <v>0</v>
      </c>
      <c r="G59">
        <f t="shared" si="24"/>
        <v>0</v>
      </c>
      <c r="H59">
        <f t="shared" si="25"/>
        <v>0</v>
      </c>
      <c r="I59">
        <f t="shared" si="26"/>
        <v>0</v>
      </c>
      <c r="J59" cm="1">
        <f t="array" ref="J59">INDEX(PROGRAM!$E$2:$E$257, B59+1)</f>
        <v>15</v>
      </c>
      <c r="K59" cm="1">
        <f t="array" ref="K59">INDEX(PROGRAM!$F$2:$F$257, B59+1)</f>
        <v>0</v>
      </c>
      <c r="L59" cm="1">
        <f t="array" ref="L59">INDEX(PROGRAM!$G$2:$G$257, B59+1)</f>
        <v>0</v>
      </c>
      <c r="M59">
        <f t="shared" si="27"/>
        <v>1</v>
      </c>
      <c r="N59">
        <f t="shared" si="28"/>
        <v>0</v>
      </c>
      <c r="O59">
        <f t="shared" si="29"/>
        <v>10</v>
      </c>
      <c r="P59">
        <f t="shared" si="30"/>
        <v>15</v>
      </c>
      <c r="Q59">
        <f t="shared" si="31"/>
        <v>0</v>
      </c>
      <c r="R59">
        <f t="shared" si="32"/>
        <v>0</v>
      </c>
      <c r="S59">
        <f t="shared" si="33"/>
        <v>0</v>
      </c>
      <c r="T59">
        <f t="shared" si="34"/>
        <v>0</v>
      </c>
      <c r="U59">
        <f t="shared" si="35"/>
        <v>5</v>
      </c>
      <c r="V59">
        <f t="shared" si="36"/>
        <v>0</v>
      </c>
      <c r="W59">
        <f t="shared" si="37"/>
        <v>0</v>
      </c>
      <c r="X59">
        <f t="shared" si="38"/>
        <v>3</v>
      </c>
      <c r="Y59">
        <f t="shared" si="39"/>
        <v>0</v>
      </c>
      <c r="Z59">
        <f t="shared" si="40"/>
        <v>0</v>
      </c>
      <c r="AA59">
        <f t="shared" si="41"/>
        <v>0</v>
      </c>
      <c r="AB59">
        <f t="shared" si="42"/>
        <v>0</v>
      </c>
      <c r="AC59">
        <f t="shared" si="43"/>
        <v>0</v>
      </c>
    </row>
    <row r="60" spans="1:29" x14ac:dyDescent="0.2">
      <c r="A60">
        <f t="shared" si="22"/>
        <v>58</v>
      </c>
      <c r="B60">
        <f t="shared" si="23"/>
        <v>4</v>
      </c>
      <c r="C60" cm="1">
        <f t="array" ref="C60">IF(M59=1,C59,IF(J59=15,C59,IF(J59=1,IF(K59=0,L59,C59),IF(J59=2,IF(K59=0,INDEX(N59:AC59,1,L59+1),C59),IF(J59=4,IF(K59=0,CHOOSE(L59+1,C59,D59,E59,F59),C59),IF(J59=5,IF(K59=0,MOD(C59+L59,256),C59),IF(J59=6,IF(K59=0,MOD(C59+CHOOSE(L59+1,C59,D59,E59,F59),256),C59),IF(J59=7,IF(K59=0,MOD(C59-L59,256),C59),IF(J59=8,IF(K59=0,MOD(C59-CHOOSE(L59+1,C59,D59,E59,F59),256),C59),IF(J59=12,IF(K59=0,MOD(C59*(IF(L59&gt;=128,CHOOSE(L59-128+1,C59,D59,E59,F59),L59)),256),C59),IF(J59=14,IF(K59=0,_xlfn.BITAND(C59,(IF(L59&gt;=128,CHOOSE(L59-128+1,C59,D59,E59,F59),L59))),C59),IF(J59=16,IF(K59=0,_xlfn.BITOR(C59,(IF(L59&gt;=128,CHOOSE(L59-128+1,C59,D59,E59,F59),L59))),C59),IF(J59=17,IF(K59=0,_xlfn.BITXOR(C59,(IF(L59&gt;=128,CHOOSE(L59-128+1,C59,D59,E59,F59),L59))),C59),IF(J59=18,IF(0=1,QUOTIENT(C59,(IF(L59&gt;=128,CHOOSE(L59-128+1,C59,D59,E59,F59),L59))),IF(0=3,MOD(C59,(IF(L59&gt;=128,CHOOSE(L59-128+1,C59,D59,E59,F59),L59))),C59)),IF(J59=13,C59,C59)))))))))))))))</f>
        <v>10</v>
      </c>
      <c r="D60" cm="1">
        <f t="array" ref="D60">IF(M59=1,D59,IF(J59=15,D59,IF(J59=1,IF(K59=1,L59,D59),IF(J59=2,IF(K59=1,INDEX(N59:AC59,1,L59+1),D59),IF(J59=4,IF(K59=1,CHOOSE(L59+1,C59,D59,E59,F59),D59),IF(J59=5,IF(K59=1,MOD(D59+L59,256),D59),IF(J59=6,IF(K59=1,MOD(D59+CHOOSE(L59+1,C59,D59,E59,F59),256),D59),IF(J59=7,IF(K59=1,MOD(D59-L59,256),D59),IF(J59=8,IF(K59=1,MOD(D59-CHOOSE(L59+1,C59,D59,E59,F59),256),D59),IF(J59=12,IF(K59=1,MOD(D59*(IF(L59&gt;=128,CHOOSE(L59-128+1,C59,D59,E59,F59),L59)),256),D59),IF(J59=14,IF(K59=1,_xlfn.BITAND(D59,(IF(L59&gt;=128,CHOOSE(L59-128+1,C59,D59,E59,F59),L59))),D59),IF(J59=16,IF(K59=1,_xlfn.BITOR(D59,(IF(L59&gt;=128,CHOOSE(L59-128+1,C59,D59,E59,F59),L59))),D59),IF(J59=17,IF(K59=1,_xlfn.BITXOR(D59,(IF(L59&gt;=128,CHOOSE(L59-128+1,C59,D59,E59,F59),L59))),D59),IF(J59=18,IF(1=1,QUOTIENT(C59,(IF(L59&gt;=128,CHOOSE(L59-128+1,C59,D59,E59,F59),L59))),IF(1=3,MOD(C59,(IF(L59&gt;=128,CHOOSE(L59-128+1,C59,D59,E59,F59),L59))),D59)),IF(J59=13,D59,D59)))))))))))))))</f>
        <v>5</v>
      </c>
      <c r="E60" cm="1">
        <f t="array" ref="E60">IF(M59=1,E59,IF(J59=15,E59,IF(J59=1,IF(K59=2,L59,E59),IF(J59=2,IF(K59=2,INDEX(N59:AC59,1,L59+1),E59),IF(J59=4,IF(K59=2,CHOOSE(L59+1,C59,D59,E59,F59),E59),IF(J59=5,IF(K59=2,MOD(E59+L59,256),E59),IF(J59=6,IF(K59=2,MOD(E59+CHOOSE(L59+1,C59,D59,E59,F59),256),E59),IF(J59=7,IF(K59=2,MOD(E59-L59,256),E59),IF(J59=8,IF(K59=2,MOD(E59-CHOOSE(L59+1,C59,D59,E59,F59),256),E59),IF(J59=12,IF(K59=2,MOD(E59*(IF(L59&gt;=128,CHOOSE(L59-128+1,C59,D59,E59,F59),L59)),256),E59),IF(J59=14,IF(K59=2,_xlfn.BITAND(E59,(IF(L59&gt;=128,CHOOSE(L59-128+1,C59,D59,E59,F59),L59))),E59),IF(J59=16,IF(K59=2,_xlfn.BITOR(E59,(IF(L59&gt;=128,CHOOSE(L59-128+1,C59,D59,E59,F59),L59))),E59),IF(J59=17,IF(K59=2,_xlfn.BITXOR(E59,(IF(L59&gt;=128,CHOOSE(L59-128+1,C59,D59,E59,F59),L59))),E59),IF(J59=18,IF(2=1,QUOTIENT(C59,(IF(L59&gt;=128,CHOOSE(L59-128+1,C59,D59,E59,F59),L59))),IF(2=3,MOD(C59,(IF(L59&gt;=128,CHOOSE(L59-128+1,C59,D59,E59,F59),L59))),E59)),IF(J59=13,MOD(E59-1,256),E59)))))))))))))))</f>
        <v>0</v>
      </c>
      <c r="F60" cm="1">
        <f t="array" ref="F60">IF(M59=1,F59,IF(J59=15,F59,IF(J59=1,IF(K59=3,L59,F59),IF(J59=2,IF(K59=3,INDEX(N59:AC59,1,L59+1),F59),IF(J59=4,IF(K59=3,CHOOSE(L59+1,C59,D59,E59,F59),F59),IF(J59=5,IF(K59=3,MOD(F59+L59,256),F59),IF(J59=6,IF(K59=3,MOD(F59+CHOOSE(L59+1,C59,D59,E59,F59),256),F59),IF(J59=7,IF(K59=3,MOD(F59-L59,256),F59),IF(J59=8,IF(K59=3,MOD(F59-CHOOSE(L59+1,C59,D59,E59,F59),256),F59),IF(J59=12,IF(K59=3,MOD(F59*(IF(L59&gt;=128,CHOOSE(L59-128+1,C59,D59,E59,F59),L59)),256),F59),IF(J59=14,IF(K59=3,_xlfn.BITAND(F59,(IF(L59&gt;=128,CHOOSE(L59-128+1,C59,D59,E59,F59),L59))),F59),IF(J59=16,IF(K59=3,_xlfn.BITOR(F59,(IF(L59&gt;=128,CHOOSE(L59-128+1,C59,D59,E59,F59),L59))),F59),IF(J59=17,IF(K59=3,_xlfn.BITXOR(F59,(IF(L59&gt;=128,CHOOSE(L59-128+1,C59,D59,E59,F59),L59))),F59),IF(J59=18,IF(3=1,QUOTIENT(C59,(IF(L59&gt;=128,CHOOSE(L59-128+1,C59,D59,E59,F59),L59))),IF(3=3,MOD(C59,(IF(L59&gt;=128,CHOOSE(L59-128+1,C59,D59,E59,F59),L59))),F59)),IF(J59=13,F59,F59)))))))))))))))</f>
        <v>0</v>
      </c>
      <c r="G60">
        <f t="shared" si="24"/>
        <v>0</v>
      </c>
      <c r="H60">
        <f t="shared" si="25"/>
        <v>0</v>
      </c>
      <c r="I60">
        <f t="shared" si="26"/>
        <v>0</v>
      </c>
      <c r="J60" cm="1">
        <f t="array" ref="J60">INDEX(PROGRAM!$E$2:$E$257, B60+1)</f>
        <v>15</v>
      </c>
      <c r="K60" cm="1">
        <f t="array" ref="K60">INDEX(PROGRAM!$F$2:$F$257, B60+1)</f>
        <v>0</v>
      </c>
      <c r="L60" cm="1">
        <f t="array" ref="L60">INDEX(PROGRAM!$G$2:$G$257, B60+1)</f>
        <v>0</v>
      </c>
      <c r="M60">
        <f t="shared" si="27"/>
        <v>1</v>
      </c>
      <c r="N60">
        <f t="shared" si="28"/>
        <v>0</v>
      </c>
      <c r="O60">
        <f t="shared" si="29"/>
        <v>10</v>
      </c>
      <c r="P60">
        <f t="shared" si="30"/>
        <v>15</v>
      </c>
      <c r="Q60">
        <f t="shared" si="31"/>
        <v>0</v>
      </c>
      <c r="R60">
        <f t="shared" si="32"/>
        <v>0</v>
      </c>
      <c r="S60">
        <f t="shared" si="33"/>
        <v>0</v>
      </c>
      <c r="T60">
        <f t="shared" si="34"/>
        <v>0</v>
      </c>
      <c r="U60">
        <f t="shared" si="35"/>
        <v>5</v>
      </c>
      <c r="V60">
        <f t="shared" si="36"/>
        <v>0</v>
      </c>
      <c r="W60">
        <f t="shared" si="37"/>
        <v>0</v>
      </c>
      <c r="X60">
        <f t="shared" si="38"/>
        <v>3</v>
      </c>
      <c r="Y60">
        <f t="shared" si="39"/>
        <v>0</v>
      </c>
      <c r="Z60">
        <f t="shared" si="40"/>
        <v>0</v>
      </c>
      <c r="AA60">
        <f t="shared" si="41"/>
        <v>0</v>
      </c>
      <c r="AB60">
        <f t="shared" si="42"/>
        <v>0</v>
      </c>
      <c r="AC60">
        <f t="shared" si="43"/>
        <v>0</v>
      </c>
    </row>
    <row r="61" spans="1:29" x14ac:dyDescent="0.2">
      <c r="A61">
        <f t="shared" si="22"/>
        <v>59</v>
      </c>
      <c r="B61">
        <f t="shared" si="23"/>
        <v>4</v>
      </c>
      <c r="C61" cm="1">
        <f t="array" ref="C61">IF(M60=1,C60,IF(J60=15,C60,IF(J60=1,IF(K60=0,L60,C60),IF(J60=2,IF(K60=0,INDEX(N60:AC60,1,L60+1),C60),IF(J60=4,IF(K60=0,CHOOSE(L60+1,C60,D60,E60,F60),C60),IF(J60=5,IF(K60=0,MOD(C60+L60,256),C60),IF(J60=6,IF(K60=0,MOD(C60+CHOOSE(L60+1,C60,D60,E60,F60),256),C60),IF(J60=7,IF(K60=0,MOD(C60-L60,256),C60),IF(J60=8,IF(K60=0,MOD(C60-CHOOSE(L60+1,C60,D60,E60,F60),256),C60),IF(J60=12,IF(K60=0,MOD(C60*(IF(L60&gt;=128,CHOOSE(L60-128+1,C60,D60,E60,F60),L60)),256),C60),IF(J60=14,IF(K60=0,_xlfn.BITAND(C60,(IF(L60&gt;=128,CHOOSE(L60-128+1,C60,D60,E60,F60),L60))),C60),IF(J60=16,IF(K60=0,_xlfn.BITOR(C60,(IF(L60&gt;=128,CHOOSE(L60-128+1,C60,D60,E60,F60),L60))),C60),IF(J60=17,IF(K60=0,_xlfn.BITXOR(C60,(IF(L60&gt;=128,CHOOSE(L60-128+1,C60,D60,E60,F60),L60))),C60),IF(J60=18,IF(0=1,QUOTIENT(C60,(IF(L60&gt;=128,CHOOSE(L60-128+1,C60,D60,E60,F60),L60))),IF(0=3,MOD(C60,(IF(L60&gt;=128,CHOOSE(L60-128+1,C60,D60,E60,F60),L60))),C60)),IF(J60=13,C60,C60)))))))))))))))</f>
        <v>10</v>
      </c>
      <c r="D61" cm="1">
        <f t="array" ref="D61">IF(M60=1,D60,IF(J60=15,D60,IF(J60=1,IF(K60=1,L60,D60),IF(J60=2,IF(K60=1,INDEX(N60:AC60,1,L60+1),D60),IF(J60=4,IF(K60=1,CHOOSE(L60+1,C60,D60,E60,F60),D60),IF(J60=5,IF(K60=1,MOD(D60+L60,256),D60),IF(J60=6,IF(K60=1,MOD(D60+CHOOSE(L60+1,C60,D60,E60,F60),256),D60),IF(J60=7,IF(K60=1,MOD(D60-L60,256),D60),IF(J60=8,IF(K60=1,MOD(D60-CHOOSE(L60+1,C60,D60,E60,F60),256),D60),IF(J60=12,IF(K60=1,MOD(D60*(IF(L60&gt;=128,CHOOSE(L60-128+1,C60,D60,E60,F60),L60)),256),D60),IF(J60=14,IF(K60=1,_xlfn.BITAND(D60,(IF(L60&gt;=128,CHOOSE(L60-128+1,C60,D60,E60,F60),L60))),D60),IF(J60=16,IF(K60=1,_xlfn.BITOR(D60,(IF(L60&gt;=128,CHOOSE(L60-128+1,C60,D60,E60,F60),L60))),D60),IF(J60=17,IF(K60=1,_xlfn.BITXOR(D60,(IF(L60&gt;=128,CHOOSE(L60-128+1,C60,D60,E60,F60),L60))),D60),IF(J60=18,IF(1=1,QUOTIENT(C60,(IF(L60&gt;=128,CHOOSE(L60-128+1,C60,D60,E60,F60),L60))),IF(1=3,MOD(C60,(IF(L60&gt;=128,CHOOSE(L60-128+1,C60,D60,E60,F60),L60))),D60)),IF(J60=13,D60,D60)))))))))))))))</f>
        <v>5</v>
      </c>
      <c r="E61" cm="1">
        <f t="array" ref="E61">IF(M60=1,E60,IF(J60=15,E60,IF(J60=1,IF(K60=2,L60,E60),IF(J60=2,IF(K60=2,INDEX(N60:AC60,1,L60+1),E60),IF(J60=4,IF(K60=2,CHOOSE(L60+1,C60,D60,E60,F60),E60),IF(J60=5,IF(K60=2,MOD(E60+L60,256),E60),IF(J60=6,IF(K60=2,MOD(E60+CHOOSE(L60+1,C60,D60,E60,F60),256),E60),IF(J60=7,IF(K60=2,MOD(E60-L60,256),E60),IF(J60=8,IF(K60=2,MOD(E60-CHOOSE(L60+1,C60,D60,E60,F60),256),E60),IF(J60=12,IF(K60=2,MOD(E60*(IF(L60&gt;=128,CHOOSE(L60-128+1,C60,D60,E60,F60),L60)),256),E60),IF(J60=14,IF(K60=2,_xlfn.BITAND(E60,(IF(L60&gt;=128,CHOOSE(L60-128+1,C60,D60,E60,F60),L60))),E60),IF(J60=16,IF(K60=2,_xlfn.BITOR(E60,(IF(L60&gt;=128,CHOOSE(L60-128+1,C60,D60,E60,F60),L60))),E60),IF(J60=17,IF(K60=2,_xlfn.BITXOR(E60,(IF(L60&gt;=128,CHOOSE(L60-128+1,C60,D60,E60,F60),L60))),E60),IF(J60=18,IF(2=1,QUOTIENT(C60,(IF(L60&gt;=128,CHOOSE(L60-128+1,C60,D60,E60,F60),L60))),IF(2=3,MOD(C60,(IF(L60&gt;=128,CHOOSE(L60-128+1,C60,D60,E60,F60),L60))),E60)),IF(J60=13,MOD(E60-1,256),E60)))))))))))))))</f>
        <v>0</v>
      </c>
      <c r="F61" cm="1">
        <f t="array" ref="F61">IF(M60=1,F60,IF(J60=15,F60,IF(J60=1,IF(K60=3,L60,F60),IF(J60=2,IF(K60=3,INDEX(N60:AC60,1,L60+1),F60),IF(J60=4,IF(K60=3,CHOOSE(L60+1,C60,D60,E60,F60),F60),IF(J60=5,IF(K60=3,MOD(F60+L60,256),F60),IF(J60=6,IF(K60=3,MOD(F60+CHOOSE(L60+1,C60,D60,E60,F60),256),F60),IF(J60=7,IF(K60=3,MOD(F60-L60,256),F60),IF(J60=8,IF(K60=3,MOD(F60-CHOOSE(L60+1,C60,D60,E60,F60),256),F60),IF(J60=12,IF(K60=3,MOD(F60*(IF(L60&gt;=128,CHOOSE(L60-128+1,C60,D60,E60,F60),L60)),256),F60),IF(J60=14,IF(K60=3,_xlfn.BITAND(F60,(IF(L60&gt;=128,CHOOSE(L60-128+1,C60,D60,E60,F60),L60))),F60),IF(J60=16,IF(K60=3,_xlfn.BITOR(F60,(IF(L60&gt;=128,CHOOSE(L60-128+1,C60,D60,E60,F60),L60))),F60),IF(J60=17,IF(K60=3,_xlfn.BITXOR(F60,(IF(L60&gt;=128,CHOOSE(L60-128+1,C60,D60,E60,F60),L60))),F60),IF(J60=18,IF(3=1,QUOTIENT(C60,(IF(L60&gt;=128,CHOOSE(L60-128+1,C60,D60,E60,F60),L60))),IF(3=3,MOD(C60,(IF(L60&gt;=128,CHOOSE(L60-128+1,C60,D60,E60,F60),L60))),F60)),IF(J60=13,F60,F60)))))))))))))))</f>
        <v>0</v>
      </c>
      <c r="G61">
        <f t="shared" si="24"/>
        <v>0</v>
      </c>
      <c r="H61">
        <f t="shared" si="25"/>
        <v>0</v>
      </c>
      <c r="I61">
        <f t="shared" si="26"/>
        <v>0</v>
      </c>
      <c r="J61" cm="1">
        <f t="array" ref="J61">INDEX(PROGRAM!$E$2:$E$257, B61+1)</f>
        <v>15</v>
      </c>
      <c r="K61" cm="1">
        <f t="array" ref="K61">INDEX(PROGRAM!$F$2:$F$257, B61+1)</f>
        <v>0</v>
      </c>
      <c r="L61" cm="1">
        <f t="array" ref="L61">INDEX(PROGRAM!$G$2:$G$257, B61+1)</f>
        <v>0</v>
      </c>
      <c r="M61">
        <f t="shared" si="27"/>
        <v>1</v>
      </c>
      <c r="N61">
        <f t="shared" si="28"/>
        <v>0</v>
      </c>
      <c r="O61">
        <f t="shared" si="29"/>
        <v>10</v>
      </c>
      <c r="P61">
        <f t="shared" si="30"/>
        <v>15</v>
      </c>
      <c r="Q61">
        <f t="shared" si="31"/>
        <v>0</v>
      </c>
      <c r="R61">
        <f t="shared" si="32"/>
        <v>0</v>
      </c>
      <c r="S61">
        <f t="shared" si="33"/>
        <v>0</v>
      </c>
      <c r="T61">
        <f t="shared" si="34"/>
        <v>0</v>
      </c>
      <c r="U61">
        <f t="shared" si="35"/>
        <v>5</v>
      </c>
      <c r="V61">
        <f t="shared" si="36"/>
        <v>0</v>
      </c>
      <c r="W61">
        <f t="shared" si="37"/>
        <v>0</v>
      </c>
      <c r="X61">
        <f t="shared" si="38"/>
        <v>3</v>
      </c>
      <c r="Y61">
        <f t="shared" si="39"/>
        <v>0</v>
      </c>
      <c r="Z61">
        <f t="shared" si="40"/>
        <v>0</v>
      </c>
      <c r="AA61">
        <f t="shared" si="41"/>
        <v>0</v>
      </c>
      <c r="AB61">
        <f t="shared" si="42"/>
        <v>0</v>
      </c>
      <c r="AC61">
        <f t="shared" si="43"/>
        <v>0</v>
      </c>
    </row>
    <row r="62" spans="1:29" x14ac:dyDescent="0.2">
      <c r="A62">
        <f t="shared" si="22"/>
        <v>60</v>
      </c>
      <c r="B62">
        <f t="shared" si="23"/>
        <v>4</v>
      </c>
      <c r="C62" cm="1">
        <f t="array" ref="C62">IF(M61=1,C61,IF(J61=15,C61,IF(J61=1,IF(K61=0,L61,C61),IF(J61=2,IF(K61=0,INDEX(N61:AC61,1,L61+1),C61),IF(J61=4,IF(K61=0,CHOOSE(L61+1,C61,D61,E61,F61),C61),IF(J61=5,IF(K61=0,MOD(C61+L61,256),C61),IF(J61=6,IF(K61=0,MOD(C61+CHOOSE(L61+1,C61,D61,E61,F61),256),C61),IF(J61=7,IF(K61=0,MOD(C61-L61,256),C61),IF(J61=8,IF(K61=0,MOD(C61-CHOOSE(L61+1,C61,D61,E61,F61),256),C61),IF(J61=12,IF(K61=0,MOD(C61*(IF(L61&gt;=128,CHOOSE(L61-128+1,C61,D61,E61,F61),L61)),256),C61),IF(J61=14,IF(K61=0,_xlfn.BITAND(C61,(IF(L61&gt;=128,CHOOSE(L61-128+1,C61,D61,E61,F61),L61))),C61),IF(J61=16,IF(K61=0,_xlfn.BITOR(C61,(IF(L61&gt;=128,CHOOSE(L61-128+1,C61,D61,E61,F61),L61))),C61),IF(J61=17,IF(K61=0,_xlfn.BITXOR(C61,(IF(L61&gt;=128,CHOOSE(L61-128+1,C61,D61,E61,F61),L61))),C61),IF(J61=18,IF(0=1,QUOTIENT(C61,(IF(L61&gt;=128,CHOOSE(L61-128+1,C61,D61,E61,F61),L61))),IF(0=3,MOD(C61,(IF(L61&gt;=128,CHOOSE(L61-128+1,C61,D61,E61,F61),L61))),C61)),IF(J61=13,C61,C61)))))))))))))))</f>
        <v>10</v>
      </c>
      <c r="D62" cm="1">
        <f t="array" ref="D62">IF(M61=1,D61,IF(J61=15,D61,IF(J61=1,IF(K61=1,L61,D61),IF(J61=2,IF(K61=1,INDEX(N61:AC61,1,L61+1),D61),IF(J61=4,IF(K61=1,CHOOSE(L61+1,C61,D61,E61,F61),D61),IF(J61=5,IF(K61=1,MOD(D61+L61,256),D61),IF(J61=6,IF(K61=1,MOD(D61+CHOOSE(L61+1,C61,D61,E61,F61),256),D61),IF(J61=7,IF(K61=1,MOD(D61-L61,256),D61),IF(J61=8,IF(K61=1,MOD(D61-CHOOSE(L61+1,C61,D61,E61,F61),256),D61),IF(J61=12,IF(K61=1,MOD(D61*(IF(L61&gt;=128,CHOOSE(L61-128+1,C61,D61,E61,F61),L61)),256),D61),IF(J61=14,IF(K61=1,_xlfn.BITAND(D61,(IF(L61&gt;=128,CHOOSE(L61-128+1,C61,D61,E61,F61),L61))),D61),IF(J61=16,IF(K61=1,_xlfn.BITOR(D61,(IF(L61&gt;=128,CHOOSE(L61-128+1,C61,D61,E61,F61),L61))),D61),IF(J61=17,IF(K61=1,_xlfn.BITXOR(D61,(IF(L61&gt;=128,CHOOSE(L61-128+1,C61,D61,E61,F61),L61))),D61),IF(J61=18,IF(1=1,QUOTIENT(C61,(IF(L61&gt;=128,CHOOSE(L61-128+1,C61,D61,E61,F61),L61))),IF(1=3,MOD(C61,(IF(L61&gt;=128,CHOOSE(L61-128+1,C61,D61,E61,F61),L61))),D61)),IF(J61=13,D61,D61)))))))))))))))</f>
        <v>5</v>
      </c>
      <c r="E62" cm="1">
        <f t="array" ref="E62">IF(M61=1,E61,IF(J61=15,E61,IF(J61=1,IF(K61=2,L61,E61),IF(J61=2,IF(K61=2,INDEX(N61:AC61,1,L61+1),E61),IF(J61=4,IF(K61=2,CHOOSE(L61+1,C61,D61,E61,F61),E61),IF(J61=5,IF(K61=2,MOD(E61+L61,256),E61),IF(J61=6,IF(K61=2,MOD(E61+CHOOSE(L61+1,C61,D61,E61,F61),256),E61),IF(J61=7,IF(K61=2,MOD(E61-L61,256),E61),IF(J61=8,IF(K61=2,MOD(E61-CHOOSE(L61+1,C61,D61,E61,F61),256),E61),IF(J61=12,IF(K61=2,MOD(E61*(IF(L61&gt;=128,CHOOSE(L61-128+1,C61,D61,E61,F61),L61)),256),E61),IF(J61=14,IF(K61=2,_xlfn.BITAND(E61,(IF(L61&gt;=128,CHOOSE(L61-128+1,C61,D61,E61,F61),L61))),E61),IF(J61=16,IF(K61=2,_xlfn.BITOR(E61,(IF(L61&gt;=128,CHOOSE(L61-128+1,C61,D61,E61,F61),L61))),E61),IF(J61=17,IF(K61=2,_xlfn.BITXOR(E61,(IF(L61&gt;=128,CHOOSE(L61-128+1,C61,D61,E61,F61),L61))),E61),IF(J61=18,IF(2=1,QUOTIENT(C61,(IF(L61&gt;=128,CHOOSE(L61-128+1,C61,D61,E61,F61),L61))),IF(2=3,MOD(C61,(IF(L61&gt;=128,CHOOSE(L61-128+1,C61,D61,E61,F61),L61))),E61)),IF(J61=13,MOD(E61-1,256),E61)))))))))))))))</f>
        <v>0</v>
      </c>
      <c r="F62" cm="1">
        <f t="array" ref="F62">IF(M61=1,F61,IF(J61=15,F61,IF(J61=1,IF(K61=3,L61,F61),IF(J61=2,IF(K61=3,INDEX(N61:AC61,1,L61+1),F61),IF(J61=4,IF(K61=3,CHOOSE(L61+1,C61,D61,E61,F61),F61),IF(J61=5,IF(K61=3,MOD(F61+L61,256),F61),IF(J61=6,IF(K61=3,MOD(F61+CHOOSE(L61+1,C61,D61,E61,F61),256),F61),IF(J61=7,IF(K61=3,MOD(F61-L61,256),F61),IF(J61=8,IF(K61=3,MOD(F61-CHOOSE(L61+1,C61,D61,E61,F61),256),F61),IF(J61=12,IF(K61=3,MOD(F61*(IF(L61&gt;=128,CHOOSE(L61-128+1,C61,D61,E61,F61),L61)),256),F61),IF(J61=14,IF(K61=3,_xlfn.BITAND(F61,(IF(L61&gt;=128,CHOOSE(L61-128+1,C61,D61,E61,F61),L61))),F61),IF(J61=16,IF(K61=3,_xlfn.BITOR(F61,(IF(L61&gt;=128,CHOOSE(L61-128+1,C61,D61,E61,F61),L61))),F61),IF(J61=17,IF(K61=3,_xlfn.BITXOR(F61,(IF(L61&gt;=128,CHOOSE(L61-128+1,C61,D61,E61,F61),L61))),F61),IF(J61=18,IF(3=1,QUOTIENT(C61,(IF(L61&gt;=128,CHOOSE(L61-128+1,C61,D61,E61,F61),L61))),IF(3=3,MOD(C61,(IF(L61&gt;=128,CHOOSE(L61-128+1,C61,D61,E61,F61),L61))),F61)),IF(J61=13,F61,F61)))))))))))))))</f>
        <v>0</v>
      </c>
      <c r="G62">
        <f t="shared" si="24"/>
        <v>0</v>
      </c>
      <c r="H62">
        <f t="shared" si="25"/>
        <v>0</v>
      </c>
      <c r="I62">
        <f t="shared" si="26"/>
        <v>0</v>
      </c>
      <c r="J62" cm="1">
        <f t="array" ref="J62">INDEX(PROGRAM!$E$2:$E$257, B62+1)</f>
        <v>15</v>
      </c>
      <c r="K62" cm="1">
        <f t="array" ref="K62">INDEX(PROGRAM!$F$2:$F$257, B62+1)</f>
        <v>0</v>
      </c>
      <c r="L62" cm="1">
        <f t="array" ref="L62">INDEX(PROGRAM!$G$2:$G$257, B62+1)</f>
        <v>0</v>
      </c>
      <c r="M62">
        <f t="shared" si="27"/>
        <v>1</v>
      </c>
      <c r="N62">
        <f t="shared" si="28"/>
        <v>0</v>
      </c>
      <c r="O62">
        <f t="shared" si="29"/>
        <v>10</v>
      </c>
      <c r="P62">
        <f t="shared" si="30"/>
        <v>15</v>
      </c>
      <c r="Q62">
        <f t="shared" si="31"/>
        <v>0</v>
      </c>
      <c r="R62">
        <f t="shared" si="32"/>
        <v>0</v>
      </c>
      <c r="S62">
        <f t="shared" si="33"/>
        <v>0</v>
      </c>
      <c r="T62">
        <f t="shared" si="34"/>
        <v>0</v>
      </c>
      <c r="U62">
        <f t="shared" si="35"/>
        <v>5</v>
      </c>
      <c r="V62">
        <f t="shared" si="36"/>
        <v>0</v>
      </c>
      <c r="W62">
        <f t="shared" si="37"/>
        <v>0</v>
      </c>
      <c r="X62">
        <f t="shared" si="38"/>
        <v>3</v>
      </c>
      <c r="Y62">
        <f t="shared" si="39"/>
        <v>0</v>
      </c>
      <c r="Z62">
        <f t="shared" si="40"/>
        <v>0</v>
      </c>
      <c r="AA62">
        <f t="shared" si="41"/>
        <v>0</v>
      </c>
      <c r="AB62">
        <f t="shared" si="42"/>
        <v>0</v>
      </c>
      <c r="AC62">
        <f t="shared" si="43"/>
        <v>0</v>
      </c>
    </row>
    <row r="63" spans="1:29" x14ac:dyDescent="0.2">
      <c r="A63">
        <f t="shared" si="22"/>
        <v>61</v>
      </c>
      <c r="B63">
        <f t="shared" si="23"/>
        <v>4</v>
      </c>
      <c r="C63" cm="1">
        <f t="array" ref="C63">IF(M62=1,C62,IF(J62=15,C62,IF(J62=1,IF(K62=0,L62,C62),IF(J62=2,IF(K62=0,INDEX(N62:AC62,1,L62+1),C62),IF(J62=4,IF(K62=0,CHOOSE(L62+1,C62,D62,E62,F62),C62),IF(J62=5,IF(K62=0,MOD(C62+L62,256),C62),IF(J62=6,IF(K62=0,MOD(C62+CHOOSE(L62+1,C62,D62,E62,F62),256),C62),IF(J62=7,IF(K62=0,MOD(C62-L62,256),C62),IF(J62=8,IF(K62=0,MOD(C62-CHOOSE(L62+1,C62,D62,E62,F62),256),C62),IF(J62=12,IF(K62=0,MOD(C62*(IF(L62&gt;=128,CHOOSE(L62-128+1,C62,D62,E62,F62),L62)),256),C62),IF(J62=14,IF(K62=0,_xlfn.BITAND(C62,(IF(L62&gt;=128,CHOOSE(L62-128+1,C62,D62,E62,F62),L62))),C62),IF(J62=16,IF(K62=0,_xlfn.BITOR(C62,(IF(L62&gt;=128,CHOOSE(L62-128+1,C62,D62,E62,F62),L62))),C62),IF(J62=17,IF(K62=0,_xlfn.BITXOR(C62,(IF(L62&gt;=128,CHOOSE(L62-128+1,C62,D62,E62,F62),L62))),C62),IF(J62=18,IF(0=1,QUOTIENT(C62,(IF(L62&gt;=128,CHOOSE(L62-128+1,C62,D62,E62,F62),L62))),IF(0=3,MOD(C62,(IF(L62&gt;=128,CHOOSE(L62-128+1,C62,D62,E62,F62),L62))),C62)),IF(J62=13,C62,C62)))))))))))))))</f>
        <v>10</v>
      </c>
      <c r="D63" cm="1">
        <f t="array" ref="D63">IF(M62=1,D62,IF(J62=15,D62,IF(J62=1,IF(K62=1,L62,D62),IF(J62=2,IF(K62=1,INDEX(N62:AC62,1,L62+1),D62),IF(J62=4,IF(K62=1,CHOOSE(L62+1,C62,D62,E62,F62),D62),IF(J62=5,IF(K62=1,MOD(D62+L62,256),D62),IF(J62=6,IF(K62=1,MOD(D62+CHOOSE(L62+1,C62,D62,E62,F62),256),D62),IF(J62=7,IF(K62=1,MOD(D62-L62,256),D62),IF(J62=8,IF(K62=1,MOD(D62-CHOOSE(L62+1,C62,D62,E62,F62),256),D62),IF(J62=12,IF(K62=1,MOD(D62*(IF(L62&gt;=128,CHOOSE(L62-128+1,C62,D62,E62,F62),L62)),256),D62),IF(J62=14,IF(K62=1,_xlfn.BITAND(D62,(IF(L62&gt;=128,CHOOSE(L62-128+1,C62,D62,E62,F62),L62))),D62),IF(J62=16,IF(K62=1,_xlfn.BITOR(D62,(IF(L62&gt;=128,CHOOSE(L62-128+1,C62,D62,E62,F62),L62))),D62),IF(J62=17,IF(K62=1,_xlfn.BITXOR(D62,(IF(L62&gt;=128,CHOOSE(L62-128+1,C62,D62,E62,F62),L62))),D62),IF(J62=18,IF(1=1,QUOTIENT(C62,(IF(L62&gt;=128,CHOOSE(L62-128+1,C62,D62,E62,F62),L62))),IF(1=3,MOD(C62,(IF(L62&gt;=128,CHOOSE(L62-128+1,C62,D62,E62,F62),L62))),D62)),IF(J62=13,D62,D62)))))))))))))))</f>
        <v>5</v>
      </c>
      <c r="E63" cm="1">
        <f t="array" ref="E63">IF(M62=1,E62,IF(J62=15,E62,IF(J62=1,IF(K62=2,L62,E62),IF(J62=2,IF(K62=2,INDEX(N62:AC62,1,L62+1),E62),IF(J62=4,IF(K62=2,CHOOSE(L62+1,C62,D62,E62,F62),E62),IF(J62=5,IF(K62=2,MOD(E62+L62,256),E62),IF(J62=6,IF(K62=2,MOD(E62+CHOOSE(L62+1,C62,D62,E62,F62),256),E62),IF(J62=7,IF(K62=2,MOD(E62-L62,256),E62),IF(J62=8,IF(K62=2,MOD(E62-CHOOSE(L62+1,C62,D62,E62,F62),256),E62),IF(J62=12,IF(K62=2,MOD(E62*(IF(L62&gt;=128,CHOOSE(L62-128+1,C62,D62,E62,F62),L62)),256),E62),IF(J62=14,IF(K62=2,_xlfn.BITAND(E62,(IF(L62&gt;=128,CHOOSE(L62-128+1,C62,D62,E62,F62),L62))),E62),IF(J62=16,IF(K62=2,_xlfn.BITOR(E62,(IF(L62&gt;=128,CHOOSE(L62-128+1,C62,D62,E62,F62),L62))),E62),IF(J62=17,IF(K62=2,_xlfn.BITXOR(E62,(IF(L62&gt;=128,CHOOSE(L62-128+1,C62,D62,E62,F62),L62))),E62),IF(J62=18,IF(2=1,QUOTIENT(C62,(IF(L62&gt;=128,CHOOSE(L62-128+1,C62,D62,E62,F62),L62))),IF(2=3,MOD(C62,(IF(L62&gt;=128,CHOOSE(L62-128+1,C62,D62,E62,F62),L62))),E62)),IF(J62=13,MOD(E62-1,256),E62)))))))))))))))</f>
        <v>0</v>
      </c>
      <c r="F63" cm="1">
        <f t="array" ref="F63">IF(M62=1,F62,IF(J62=15,F62,IF(J62=1,IF(K62=3,L62,F62),IF(J62=2,IF(K62=3,INDEX(N62:AC62,1,L62+1),F62),IF(J62=4,IF(K62=3,CHOOSE(L62+1,C62,D62,E62,F62),F62),IF(J62=5,IF(K62=3,MOD(F62+L62,256),F62),IF(J62=6,IF(K62=3,MOD(F62+CHOOSE(L62+1,C62,D62,E62,F62),256),F62),IF(J62=7,IF(K62=3,MOD(F62-L62,256),F62),IF(J62=8,IF(K62=3,MOD(F62-CHOOSE(L62+1,C62,D62,E62,F62),256),F62),IF(J62=12,IF(K62=3,MOD(F62*(IF(L62&gt;=128,CHOOSE(L62-128+1,C62,D62,E62,F62),L62)),256),F62),IF(J62=14,IF(K62=3,_xlfn.BITAND(F62,(IF(L62&gt;=128,CHOOSE(L62-128+1,C62,D62,E62,F62),L62))),F62),IF(J62=16,IF(K62=3,_xlfn.BITOR(F62,(IF(L62&gt;=128,CHOOSE(L62-128+1,C62,D62,E62,F62),L62))),F62),IF(J62=17,IF(K62=3,_xlfn.BITXOR(F62,(IF(L62&gt;=128,CHOOSE(L62-128+1,C62,D62,E62,F62),L62))),F62),IF(J62=18,IF(3=1,QUOTIENT(C62,(IF(L62&gt;=128,CHOOSE(L62-128+1,C62,D62,E62,F62),L62))),IF(3=3,MOD(C62,(IF(L62&gt;=128,CHOOSE(L62-128+1,C62,D62,E62,F62),L62))),F62)),IF(J62=13,F62,F62)))))))))))))))</f>
        <v>0</v>
      </c>
      <c r="G63">
        <f t="shared" si="24"/>
        <v>0</v>
      </c>
      <c r="H63">
        <f t="shared" si="25"/>
        <v>0</v>
      </c>
      <c r="I63">
        <f t="shared" si="26"/>
        <v>0</v>
      </c>
      <c r="J63" cm="1">
        <f t="array" ref="J63">INDEX(PROGRAM!$E$2:$E$257, B63+1)</f>
        <v>15</v>
      </c>
      <c r="K63" cm="1">
        <f t="array" ref="K63">INDEX(PROGRAM!$F$2:$F$257, B63+1)</f>
        <v>0</v>
      </c>
      <c r="L63" cm="1">
        <f t="array" ref="L63">INDEX(PROGRAM!$G$2:$G$257, B63+1)</f>
        <v>0</v>
      </c>
      <c r="M63">
        <f t="shared" si="27"/>
        <v>1</v>
      </c>
      <c r="N63">
        <f t="shared" si="28"/>
        <v>0</v>
      </c>
      <c r="O63">
        <f t="shared" si="29"/>
        <v>10</v>
      </c>
      <c r="P63">
        <f t="shared" si="30"/>
        <v>15</v>
      </c>
      <c r="Q63">
        <f t="shared" si="31"/>
        <v>0</v>
      </c>
      <c r="R63">
        <f t="shared" si="32"/>
        <v>0</v>
      </c>
      <c r="S63">
        <f t="shared" si="33"/>
        <v>0</v>
      </c>
      <c r="T63">
        <f t="shared" si="34"/>
        <v>0</v>
      </c>
      <c r="U63">
        <f t="shared" si="35"/>
        <v>5</v>
      </c>
      <c r="V63">
        <f t="shared" si="36"/>
        <v>0</v>
      </c>
      <c r="W63">
        <f t="shared" si="37"/>
        <v>0</v>
      </c>
      <c r="X63">
        <f t="shared" si="38"/>
        <v>3</v>
      </c>
      <c r="Y63">
        <f t="shared" si="39"/>
        <v>0</v>
      </c>
      <c r="Z63">
        <f t="shared" si="40"/>
        <v>0</v>
      </c>
      <c r="AA63">
        <f t="shared" si="41"/>
        <v>0</v>
      </c>
      <c r="AB63">
        <f t="shared" si="42"/>
        <v>0</v>
      </c>
      <c r="AC63">
        <f t="shared" si="43"/>
        <v>0</v>
      </c>
    </row>
    <row r="64" spans="1:29" x14ac:dyDescent="0.2">
      <c r="A64">
        <f t="shared" si="22"/>
        <v>62</v>
      </c>
      <c r="B64">
        <f t="shared" si="23"/>
        <v>4</v>
      </c>
      <c r="C64" cm="1">
        <f t="array" ref="C64">IF(M63=1,C63,IF(J63=15,C63,IF(J63=1,IF(K63=0,L63,C63),IF(J63=2,IF(K63=0,INDEX(N63:AC63,1,L63+1),C63),IF(J63=4,IF(K63=0,CHOOSE(L63+1,C63,D63,E63,F63),C63),IF(J63=5,IF(K63=0,MOD(C63+L63,256),C63),IF(J63=6,IF(K63=0,MOD(C63+CHOOSE(L63+1,C63,D63,E63,F63),256),C63),IF(J63=7,IF(K63=0,MOD(C63-L63,256),C63),IF(J63=8,IF(K63=0,MOD(C63-CHOOSE(L63+1,C63,D63,E63,F63),256),C63),IF(J63=12,IF(K63=0,MOD(C63*(IF(L63&gt;=128,CHOOSE(L63-128+1,C63,D63,E63,F63),L63)),256),C63),IF(J63=14,IF(K63=0,_xlfn.BITAND(C63,(IF(L63&gt;=128,CHOOSE(L63-128+1,C63,D63,E63,F63),L63))),C63),IF(J63=16,IF(K63=0,_xlfn.BITOR(C63,(IF(L63&gt;=128,CHOOSE(L63-128+1,C63,D63,E63,F63),L63))),C63),IF(J63=17,IF(K63=0,_xlfn.BITXOR(C63,(IF(L63&gt;=128,CHOOSE(L63-128+1,C63,D63,E63,F63),L63))),C63),IF(J63=18,IF(0=1,QUOTIENT(C63,(IF(L63&gt;=128,CHOOSE(L63-128+1,C63,D63,E63,F63),L63))),IF(0=3,MOD(C63,(IF(L63&gt;=128,CHOOSE(L63-128+1,C63,D63,E63,F63),L63))),C63)),IF(J63=13,C63,C63)))))))))))))))</f>
        <v>10</v>
      </c>
      <c r="D64" cm="1">
        <f t="array" ref="D64">IF(M63=1,D63,IF(J63=15,D63,IF(J63=1,IF(K63=1,L63,D63),IF(J63=2,IF(K63=1,INDEX(N63:AC63,1,L63+1),D63),IF(J63=4,IF(K63=1,CHOOSE(L63+1,C63,D63,E63,F63),D63),IF(J63=5,IF(K63=1,MOD(D63+L63,256),D63),IF(J63=6,IF(K63=1,MOD(D63+CHOOSE(L63+1,C63,D63,E63,F63),256),D63),IF(J63=7,IF(K63=1,MOD(D63-L63,256),D63),IF(J63=8,IF(K63=1,MOD(D63-CHOOSE(L63+1,C63,D63,E63,F63),256),D63),IF(J63=12,IF(K63=1,MOD(D63*(IF(L63&gt;=128,CHOOSE(L63-128+1,C63,D63,E63,F63),L63)),256),D63),IF(J63=14,IF(K63=1,_xlfn.BITAND(D63,(IF(L63&gt;=128,CHOOSE(L63-128+1,C63,D63,E63,F63),L63))),D63),IF(J63=16,IF(K63=1,_xlfn.BITOR(D63,(IF(L63&gt;=128,CHOOSE(L63-128+1,C63,D63,E63,F63),L63))),D63),IF(J63=17,IF(K63=1,_xlfn.BITXOR(D63,(IF(L63&gt;=128,CHOOSE(L63-128+1,C63,D63,E63,F63),L63))),D63),IF(J63=18,IF(1=1,QUOTIENT(C63,(IF(L63&gt;=128,CHOOSE(L63-128+1,C63,D63,E63,F63),L63))),IF(1=3,MOD(C63,(IF(L63&gt;=128,CHOOSE(L63-128+1,C63,D63,E63,F63),L63))),D63)),IF(J63=13,D63,D63)))))))))))))))</f>
        <v>5</v>
      </c>
      <c r="E64" cm="1">
        <f t="array" ref="E64">IF(M63=1,E63,IF(J63=15,E63,IF(J63=1,IF(K63=2,L63,E63),IF(J63=2,IF(K63=2,INDEX(N63:AC63,1,L63+1),E63),IF(J63=4,IF(K63=2,CHOOSE(L63+1,C63,D63,E63,F63),E63),IF(J63=5,IF(K63=2,MOD(E63+L63,256),E63),IF(J63=6,IF(K63=2,MOD(E63+CHOOSE(L63+1,C63,D63,E63,F63),256),E63),IF(J63=7,IF(K63=2,MOD(E63-L63,256),E63),IF(J63=8,IF(K63=2,MOD(E63-CHOOSE(L63+1,C63,D63,E63,F63),256),E63),IF(J63=12,IF(K63=2,MOD(E63*(IF(L63&gt;=128,CHOOSE(L63-128+1,C63,D63,E63,F63),L63)),256),E63),IF(J63=14,IF(K63=2,_xlfn.BITAND(E63,(IF(L63&gt;=128,CHOOSE(L63-128+1,C63,D63,E63,F63),L63))),E63),IF(J63=16,IF(K63=2,_xlfn.BITOR(E63,(IF(L63&gt;=128,CHOOSE(L63-128+1,C63,D63,E63,F63),L63))),E63),IF(J63=17,IF(K63=2,_xlfn.BITXOR(E63,(IF(L63&gt;=128,CHOOSE(L63-128+1,C63,D63,E63,F63),L63))),E63),IF(J63=18,IF(2=1,QUOTIENT(C63,(IF(L63&gt;=128,CHOOSE(L63-128+1,C63,D63,E63,F63),L63))),IF(2=3,MOD(C63,(IF(L63&gt;=128,CHOOSE(L63-128+1,C63,D63,E63,F63),L63))),E63)),IF(J63=13,MOD(E63-1,256),E63)))))))))))))))</f>
        <v>0</v>
      </c>
      <c r="F64" cm="1">
        <f t="array" ref="F64">IF(M63=1,F63,IF(J63=15,F63,IF(J63=1,IF(K63=3,L63,F63),IF(J63=2,IF(K63=3,INDEX(N63:AC63,1,L63+1),F63),IF(J63=4,IF(K63=3,CHOOSE(L63+1,C63,D63,E63,F63),F63),IF(J63=5,IF(K63=3,MOD(F63+L63,256),F63),IF(J63=6,IF(K63=3,MOD(F63+CHOOSE(L63+1,C63,D63,E63,F63),256),F63),IF(J63=7,IF(K63=3,MOD(F63-L63,256),F63),IF(J63=8,IF(K63=3,MOD(F63-CHOOSE(L63+1,C63,D63,E63,F63),256),F63),IF(J63=12,IF(K63=3,MOD(F63*(IF(L63&gt;=128,CHOOSE(L63-128+1,C63,D63,E63,F63),L63)),256),F63),IF(J63=14,IF(K63=3,_xlfn.BITAND(F63,(IF(L63&gt;=128,CHOOSE(L63-128+1,C63,D63,E63,F63),L63))),F63),IF(J63=16,IF(K63=3,_xlfn.BITOR(F63,(IF(L63&gt;=128,CHOOSE(L63-128+1,C63,D63,E63,F63),L63))),F63),IF(J63=17,IF(K63=3,_xlfn.BITXOR(F63,(IF(L63&gt;=128,CHOOSE(L63-128+1,C63,D63,E63,F63),L63))),F63),IF(J63=18,IF(3=1,QUOTIENT(C63,(IF(L63&gt;=128,CHOOSE(L63-128+1,C63,D63,E63,F63),L63))),IF(3=3,MOD(C63,(IF(L63&gt;=128,CHOOSE(L63-128+1,C63,D63,E63,F63),L63))),F63)),IF(J63=13,F63,F63)))))))))))))))</f>
        <v>0</v>
      </c>
      <c r="G64">
        <f t="shared" si="24"/>
        <v>0</v>
      </c>
      <c r="H64">
        <f t="shared" si="25"/>
        <v>0</v>
      </c>
      <c r="I64">
        <f t="shared" si="26"/>
        <v>0</v>
      </c>
      <c r="J64" cm="1">
        <f t="array" ref="J64">INDEX(PROGRAM!$E$2:$E$257, B64+1)</f>
        <v>15</v>
      </c>
      <c r="K64" cm="1">
        <f t="array" ref="K64">INDEX(PROGRAM!$F$2:$F$257, B64+1)</f>
        <v>0</v>
      </c>
      <c r="L64" cm="1">
        <f t="array" ref="L64">INDEX(PROGRAM!$G$2:$G$257, B64+1)</f>
        <v>0</v>
      </c>
      <c r="M64">
        <f t="shared" si="27"/>
        <v>1</v>
      </c>
      <c r="N64">
        <f t="shared" si="28"/>
        <v>0</v>
      </c>
      <c r="O64">
        <f t="shared" si="29"/>
        <v>10</v>
      </c>
      <c r="P64">
        <f t="shared" si="30"/>
        <v>15</v>
      </c>
      <c r="Q64">
        <f t="shared" si="31"/>
        <v>0</v>
      </c>
      <c r="R64">
        <f t="shared" si="32"/>
        <v>0</v>
      </c>
      <c r="S64">
        <f t="shared" si="33"/>
        <v>0</v>
      </c>
      <c r="T64">
        <f t="shared" si="34"/>
        <v>0</v>
      </c>
      <c r="U64">
        <f t="shared" si="35"/>
        <v>5</v>
      </c>
      <c r="V64">
        <f t="shared" si="36"/>
        <v>0</v>
      </c>
      <c r="W64">
        <f t="shared" si="37"/>
        <v>0</v>
      </c>
      <c r="X64">
        <f t="shared" si="38"/>
        <v>3</v>
      </c>
      <c r="Y64">
        <f t="shared" si="39"/>
        <v>0</v>
      </c>
      <c r="Z64">
        <f t="shared" si="40"/>
        <v>0</v>
      </c>
      <c r="AA64">
        <f t="shared" si="41"/>
        <v>0</v>
      </c>
      <c r="AB64">
        <f t="shared" si="42"/>
        <v>0</v>
      </c>
      <c r="AC64">
        <f t="shared" si="43"/>
        <v>0</v>
      </c>
    </row>
    <row r="65" spans="1:29" x14ac:dyDescent="0.2">
      <c r="A65">
        <f t="shared" si="22"/>
        <v>63</v>
      </c>
      <c r="B65">
        <f t="shared" si="23"/>
        <v>4</v>
      </c>
      <c r="C65" cm="1">
        <f t="array" ref="C65">IF(M64=1,C64,IF(J64=15,C64,IF(J64=1,IF(K64=0,L64,C64),IF(J64=2,IF(K64=0,INDEX(N64:AC64,1,L64+1),C64),IF(J64=4,IF(K64=0,CHOOSE(L64+1,C64,D64,E64,F64),C64),IF(J64=5,IF(K64=0,MOD(C64+L64,256),C64),IF(J64=6,IF(K64=0,MOD(C64+CHOOSE(L64+1,C64,D64,E64,F64),256),C64),IF(J64=7,IF(K64=0,MOD(C64-L64,256),C64),IF(J64=8,IF(K64=0,MOD(C64-CHOOSE(L64+1,C64,D64,E64,F64),256),C64),IF(J64=12,IF(K64=0,MOD(C64*(IF(L64&gt;=128,CHOOSE(L64-128+1,C64,D64,E64,F64),L64)),256),C64),IF(J64=14,IF(K64=0,_xlfn.BITAND(C64,(IF(L64&gt;=128,CHOOSE(L64-128+1,C64,D64,E64,F64),L64))),C64),IF(J64=16,IF(K64=0,_xlfn.BITOR(C64,(IF(L64&gt;=128,CHOOSE(L64-128+1,C64,D64,E64,F64),L64))),C64),IF(J64=17,IF(K64=0,_xlfn.BITXOR(C64,(IF(L64&gt;=128,CHOOSE(L64-128+1,C64,D64,E64,F64),L64))),C64),IF(J64=18,IF(0=1,QUOTIENT(C64,(IF(L64&gt;=128,CHOOSE(L64-128+1,C64,D64,E64,F64),L64))),IF(0=3,MOD(C64,(IF(L64&gt;=128,CHOOSE(L64-128+1,C64,D64,E64,F64),L64))),C64)),IF(J64=13,C64,C64)))))))))))))))</f>
        <v>10</v>
      </c>
      <c r="D65" cm="1">
        <f t="array" ref="D65">IF(M64=1,D64,IF(J64=15,D64,IF(J64=1,IF(K64=1,L64,D64),IF(J64=2,IF(K64=1,INDEX(N64:AC64,1,L64+1),D64),IF(J64=4,IF(K64=1,CHOOSE(L64+1,C64,D64,E64,F64),D64),IF(J64=5,IF(K64=1,MOD(D64+L64,256),D64),IF(J64=6,IF(K64=1,MOD(D64+CHOOSE(L64+1,C64,D64,E64,F64),256),D64),IF(J64=7,IF(K64=1,MOD(D64-L64,256),D64),IF(J64=8,IF(K64=1,MOD(D64-CHOOSE(L64+1,C64,D64,E64,F64),256),D64),IF(J64=12,IF(K64=1,MOD(D64*(IF(L64&gt;=128,CHOOSE(L64-128+1,C64,D64,E64,F64),L64)),256),D64),IF(J64=14,IF(K64=1,_xlfn.BITAND(D64,(IF(L64&gt;=128,CHOOSE(L64-128+1,C64,D64,E64,F64),L64))),D64),IF(J64=16,IF(K64=1,_xlfn.BITOR(D64,(IF(L64&gt;=128,CHOOSE(L64-128+1,C64,D64,E64,F64),L64))),D64),IF(J64=17,IF(K64=1,_xlfn.BITXOR(D64,(IF(L64&gt;=128,CHOOSE(L64-128+1,C64,D64,E64,F64),L64))),D64),IF(J64=18,IF(1=1,QUOTIENT(C64,(IF(L64&gt;=128,CHOOSE(L64-128+1,C64,D64,E64,F64),L64))),IF(1=3,MOD(C64,(IF(L64&gt;=128,CHOOSE(L64-128+1,C64,D64,E64,F64),L64))),D64)),IF(J64=13,D64,D64)))))))))))))))</f>
        <v>5</v>
      </c>
      <c r="E65" cm="1">
        <f t="array" ref="E65">IF(M64=1,E64,IF(J64=15,E64,IF(J64=1,IF(K64=2,L64,E64),IF(J64=2,IF(K64=2,INDEX(N64:AC64,1,L64+1),E64),IF(J64=4,IF(K64=2,CHOOSE(L64+1,C64,D64,E64,F64),E64),IF(J64=5,IF(K64=2,MOD(E64+L64,256),E64),IF(J64=6,IF(K64=2,MOD(E64+CHOOSE(L64+1,C64,D64,E64,F64),256),E64),IF(J64=7,IF(K64=2,MOD(E64-L64,256),E64),IF(J64=8,IF(K64=2,MOD(E64-CHOOSE(L64+1,C64,D64,E64,F64),256),E64),IF(J64=12,IF(K64=2,MOD(E64*(IF(L64&gt;=128,CHOOSE(L64-128+1,C64,D64,E64,F64),L64)),256),E64),IF(J64=14,IF(K64=2,_xlfn.BITAND(E64,(IF(L64&gt;=128,CHOOSE(L64-128+1,C64,D64,E64,F64),L64))),E64),IF(J64=16,IF(K64=2,_xlfn.BITOR(E64,(IF(L64&gt;=128,CHOOSE(L64-128+1,C64,D64,E64,F64),L64))),E64),IF(J64=17,IF(K64=2,_xlfn.BITXOR(E64,(IF(L64&gt;=128,CHOOSE(L64-128+1,C64,D64,E64,F64),L64))),E64),IF(J64=18,IF(2=1,QUOTIENT(C64,(IF(L64&gt;=128,CHOOSE(L64-128+1,C64,D64,E64,F64),L64))),IF(2=3,MOD(C64,(IF(L64&gt;=128,CHOOSE(L64-128+1,C64,D64,E64,F64),L64))),E64)),IF(J64=13,MOD(E64-1,256),E64)))))))))))))))</f>
        <v>0</v>
      </c>
      <c r="F65" cm="1">
        <f t="array" ref="F65">IF(M64=1,F64,IF(J64=15,F64,IF(J64=1,IF(K64=3,L64,F64),IF(J64=2,IF(K64=3,INDEX(N64:AC64,1,L64+1),F64),IF(J64=4,IF(K64=3,CHOOSE(L64+1,C64,D64,E64,F64),F64),IF(J64=5,IF(K64=3,MOD(F64+L64,256),F64),IF(J64=6,IF(K64=3,MOD(F64+CHOOSE(L64+1,C64,D64,E64,F64),256),F64),IF(J64=7,IF(K64=3,MOD(F64-L64,256),F64),IF(J64=8,IF(K64=3,MOD(F64-CHOOSE(L64+1,C64,D64,E64,F64),256),F64),IF(J64=12,IF(K64=3,MOD(F64*(IF(L64&gt;=128,CHOOSE(L64-128+1,C64,D64,E64,F64),L64)),256),F64),IF(J64=14,IF(K64=3,_xlfn.BITAND(F64,(IF(L64&gt;=128,CHOOSE(L64-128+1,C64,D64,E64,F64),L64))),F64),IF(J64=16,IF(K64=3,_xlfn.BITOR(F64,(IF(L64&gt;=128,CHOOSE(L64-128+1,C64,D64,E64,F64),L64))),F64),IF(J64=17,IF(K64=3,_xlfn.BITXOR(F64,(IF(L64&gt;=128,CHOOSE(L64-128+1,C64,D64,E64,F64),L64))),F64),IF(J64=18,IF(3=1,QUOTIENT(C64,(IF(L64&gt;=128,CHOOSE(L64-128+1,C64,D64,E64,F64),L64))),IF(3=3,MOD(C64,(IF(L64&gt;=128,CHOOSE(L64-128+1,C64,D64,E64,F64),L64))),F64)),IF(J64=13,F64,F64)))))))))))))))</f>
        <v>0</v>
      </c>
      <c r="G65">
        <f t="shared" si="24"/>
        <v>0</v>
      </c>
      <c r="H65">
        <f t="shared" si="25"/>
        <v>0</v>
      </c>
      <c r="I65">
        <f t="shared" si="26"/>
        <v>0</v>
      </c>
      <c r="J65" cm="1">
        <f t="array" ref="J65">INDEX(PROGRAM!$E$2:$E$257, B65+1)</f>
        <v>15</v>
      </c>
      <c r="K65" cm="1">
        <f t="array" ref="K65">INDEX(PROGRAM!$F$2:$F$257, B65+1)</f>
        <v>0</v>
      </c>
      <c r="L65" cm="1">
        <f t="array" ref="L65">INDEX(PROGRAM!$G$2:$G$257, B65+1)</f>
        <v>0</v>
      </c>
      <c r="M65">
        <f t="shared" si="27"/>
        <v>1</v>
      </c>
      <c r="N65">
        <f t="shared" si="28"/>
        <v>0</v>
      </c>
      <c r="O65">
        <f t="shared" si="29"/>
        <v>10</v>
      </c>
      <c r="P65">
        <f t="shared" si="30"/>
        <v>15</v>
      </c>
      <c r="Q65">
        <f t="shared" si="31"/>
        <v>0</v>
      </c>
      <c r="R65">
        <f t="shared" si="32"/>
        <v>0</v>
      </c>
      <c r="S65">
        <f t="shared" si="33"/>
        <v>0</v>
      </c>
      <c r="T65">
        <f t="shared" si="34"/>
        <v>0</v>
      </c>
      <c r="U65">
        <f t="shared" si="35"/>
        <v>5</v>
      </c>
      <c r="V65">
        <f t="shared" si="36"/>
        <v>0</v>
      </c>
      <c r="W65">
        <f t="shared" si="37"/>
        <v>0</v>
      </c>
      <c r="X65">
        <f t="shared" si="38"/>
        <v>3</v>
      </c>
      <c r="Y65">
        <f t="shared" si="39"/>
        <v>0</v>
      </c>
      <c r="Z65">
        <f t="shared" si="40"/>
        <v>0</v>
      </c>
      <c r="AA65">
        <f t="shared" si="41"/>
        <v>0</v>
      </c>
      <c r="AB65">
        <f t="shared" si="42"/>
        <v>0</v>
      </c>
      <c r="AC65">
        <f t="shared" si="43"/>
        <v>0</v>
      </c>
    </row>
    <row r="66" spans="1:29" x14ac:dyDescent="0.2">
      <c r="A66">
        <f t="shared" si="22"/>
        <v>64</v>
      </c>
      <c r="B66">
        <f t="shared" si="23"/>
        <v>4</v>
      </c>
      <c r="C66" cm="1">
        <f t="array" ref="C66">IF(M65=1,C65,IF(J65=15,C65,IF(J65=1,IF(K65=0,L65,C65),IF(J65=2,IF(K65=0,INDEX(N65:AC65,1,L65+1),C65),IF(J65=4,IF(K65=0,CHOOSE(L65+1,C65,D65,E65,F65),C65),IF(J65=5,IF(K65=0,MOD(C65+L65,256),C65),IF(J65=6,IF(K65=0,MOD(C65+CHOOSE(L65+1,C65,D65,E65,F65),256),C65),IF(J65=7,IF(K65=0,MOD(C65-L65,256),C65),IF(J65=8,IF(K65=0,MOD(C65-CHOOSE(L65+1,C65,D65,E65,F65),256),C65),IF(J65=12,IF(K65=0,MOD(C65*(IF(L65&gt;=128,CHOOSE(L65-128+1,C65,D65,E65,F65),L65)),256),C65),IF(J65=14,IF(K65=0,_xlfn.BITAND(C65,(IF(L65&gt;=128,CHOOSE(L65-128+1,C65,D65,E65,F65),L65))),C65),IF(J65=16,IF(K65=0,_xlfn.BITOR(C65,(IF(L65&gt;=128,CHOOSE(L65-128+1,C65,D65,E65,F65),L65))),C65),IF(J65=17,IF(K65=0,_xlfn.BITXOR(C65,(IF(L65&gt;=128,CHOOSE(L65-128+1,C65,D65,E65,F65),L65))),C65),IF(J65=18,IF(0=1,QUOTIENT(C65,(IF(L65&gt;=128,CHOOSE(L65-128+1,C65,D65,E65,F65),L65))),IF(0=3,MOD(C65,(IF(L65&gt;=128,CHOOSE(L65-128+1,C65,D65,E65,F65),L65))),C65)),IF(J65=13,C65,C65)))))))))))))))</f>
        <v>10</v>
      </c>
      <c r="D66" cm="1">
        <f t="array" ref="D66">IF(M65=1,D65,IF(J65=15,D65,IF(J65=1,IF(K65=1,L65,D65),IF(J65=2,IF(K65=1,INDEX(N65:AC65,1,L65+1),D65),IF(J65=4,IF(K65=1,CHOOSE(L65+1,C65,D65,E65,F65),D65),IF(J65=5,IF(K65=1,MOD(D65+L65,256),D65),IF(J65=6,IF(K65=1,MOD(D65+CHOOSE(L65+1,C65,D65,E65,F65),256),D65),IF(J65=7,IF(K65=1,MOD(D65-L65,256),D65),IF(J65=8,IF(K65=1,MOD(D65-CHOOSE(L65+1,C65,D65,E65,F65),256),D65),IF(J65=12,IF(K65=1,MOD(D65*(IF(L65&gt;=128,CHOOSE(L65-128+1,C65,D65,E65,F65),L65)),256),D65),IF(J65=14,IF(K65=1,_xlfn.BITAND(D65,(IF(L65&gt;=128,CHOOSE(L65-128+1,C65,D65,E65,F65),L65))),D65),IF(J65=16,IF(K65=1,_xlfn.BITOR(D65,(IF(L65&gt;=128,CHOOSE(L65-128+1,C65,D65,E65,F65),L65))),D65),IF(J65=17,IF(K65=1,_xlfn.BITXOR(D65,(IF(L65&gt;=128,CHOOSE(L65-128+1,C65,D65,E65,F65),L65))),D65),IF(J65=18,IF(1=1,QUOTIENT(C65,(IF(L65&gt;=128,CHOOSE(L65-128+1,C65,D65,E65,F65),L65))),IF(1=3,MOD(C65,(IF(L65&gt;=128,CHOOSE(L65-128+1,C65,D65,E65,F65),L65))),D65)),IF(J65=13,D65,D65)))))))))))))))</f>
        <v>5</v>
      </c>
      <c r="E66" cm="1">
        <f t="array" ref="E66">IF(M65=1,E65,IF(J65=15,E65,IF(J65=1,IF(K65=2,L65,E65),IF(J65=2,IF(K65=2,INDEX(N65:AC65,1,L65+1),E65),IF(J65=4,IF(K65=2,CHOOSE(L65+1,C65,D65,E65,F65),E65),IF(J65=5,IF(K65=2,MOD(E65+L65,256),E65),IF(J65=6,IF(K65=2,MOD(E65+CHOOSE(L65+1,C65,D65,E65,F65),256),E65),IF(J65=7,IF(K65=2,MOD(E65-L65,256),E65),IF(J65=8,IF(K65=2,MOD(E65-CHOOSE(L65+1,C65,D65,E65,F65),256),E65),IF(J65=12,IF(K65=2,MOD(E65*(IF(L65&gt;=128,CHOOSE(L65-128+1,C65,D65,E65,F65),L65)),256),E65),IF(J65=14,IF(K65=2,_xlfn.BITAND(E65,(IF(L65&gt;=128,CHOOSE(L65-128+1,C65,D65,E65,F65),L65))),E65),IF(J65=16,IF(K65=2,_xlfn.BITOR(E65,(IF(L65&gt;=128,CHOOSE(L65-128+1,C65,D65,E65,F65),L65))),E65),IF(J65=17,IF(K65=2,_xlfn.BITXOR(E65,(IF(L65&gt;=128,CHOOSE(L65-128+1,C65,D65,E65,F65),L65))),E65),IF(J65=18,IF(2=1,QUOTIENT(C65,(IF(L65&gt;=128,CHOOSE(L65-128+1,C65,D65,E65,F65),L65))),IF(2=3,MOD(C65,(IF(L65&gt;=128,CHOOSE(L65-128+1,C65,D65,E65,F65),L65))),E65)),IF(J65=13,MOD(E65-1,256),E65)))))))))))))))</f>
        <v>0</v>
      </c>
      <c r="F66" cm="1">
        <f t="array" ref="F66">IF(M65=1,F65,IF(J65=15,F65,IF(J65=1,IF(K65=3,L65,F65),IF(J65=2,IF(K65=3,INDEX(N65:AC65,1,L65+1),F65),IF(J65=4,IF(K65=3,CHOOSE(L65+1,C65,D65,E65,F65),F65),IF(J65=5,IF(K65=3,MOD(F65+L65,256),F65),IF(J65=6,IF(K65=3,MOD(F65+CHOOSE(L65+1,C65,D65,E65,F65),256),F65),IF(J65=7,IF(K65=3,MOD(F65-L65,256),F65),IF(J65=8,IF(K65=3,MOD(F65-CHOOSE(L65+1,C65,D65,E65,F65),256),F65),IF(J65=12,IF(K65=3,MOD(F65*(IF(L65&gt;=128,CHOOSE(L65-128+1,C65,D65,E65,F65),L65)),256),F65),IF(J65=14,IF(K65=3,_xlfn.BITAND(F65,(IF(L65&gt;=128,CHOOSE(L65-128+1,C65,D65,E65,F65),L65))),F65),IF(J65=16,IF(K65=3,_xlfn.BITOR(F65,(IF(L65&gt;=128,CHOOSE(L65-128+1,C65,D65,E65,F65),L65))),F65),IF(J65=17,IF(K65=3,_xlfn.BITXOR(F65,(IF(L65&gt;=128,CHOOSE(L65-128+1,C65,D65,E65,F65),L65))),F65),IF(J65=18,IF(3=1,QUOTIENT(C65,(IF(L65&gt;=128,CHOOSE(L65-128+1,C65,D65,E65,F65),L65))),IF(3=3,MOD(C65,(IF(L65&gt;=128,CHOOSE(L65-128+1,C65,D65,E65,F65),L65))),F65)),IF(J65=13,F65,F65)))))))))))))))</f>
        <v>0</v>
      </c>
      <c r="G66">
        <f t="shared" si="24"/>
        <v>0</v>
      </c>
      <c r="H66">
        <f t="shared" si="25"/>
        <v>0</v>
      </c>
      <c r="I66">
        <f t="shared" si="26"/>
        <v>0</v>
      </c>
      <c r="J66" cm="1">
        <f t="array" ref="J66">INDEX(PROGRAM!$E$2:$E$257, B66+1)</f>
        <v>15</v>
      </c>
      <c r="K66" cm="1">
        <f t="array" ref="K66">INDEX(PROGRAM!$F$2:$F$257, B66+1)</f>
        <v>0</v>
      </c>
      <c r="L66" cm="1">
        <f t="array" ref="L66">INDEX(PROGRAM!$G$2:$G$257, B66+1)</f>
        <v>0</v>
      </c>
      <c r="M66">
        <f t="shared" si="27"/>
        <v>1</v>
      </c>
      <c r="N66">
        <f t="shared" si="28"/>
        <v>0</v>
      </c>
      <c r="O66">
        <f t="shared" si="29"/>
        <v>10</v>
      </c>
      <c r="P66">
        <f t="shared" si="30"/>
        <v>15</v>
      </c>
      <c r="Q66">
        <f t="shared" si="31"/>
        <v>0</v>
      </c>
      <c r="R66">
        <f t="shared" si="32"/>
        <v>0</v>
      </c>
      <c r="S66">
        <f t="shared" si="33"/>
        <v>0</v>
      </c>
      <c r="T66">
        <f t="shared" si="34"/>
        <v>0</v>
      </c>
      <c r="U66">
        <f t="shared" si="35"/>
        <v>5</v>
      </c>
      <c r="V66">
        <f t="shared" si="36"/>
        <v>0</v>
      </c>
      <c r="W66">
        <f t="shared" si="37"/>
        <v>0</v>
      </c>
      <c r="X66">
        <f t="shared" si="38"/>
        <v>3</v>
      </c>
      <c r="Y66">
        <f t="shared" si="39"/>
        <v>0</v>
      </c>
      <c r="Z66">
        <f t="shared" si="40"/>
        <v>0</v>
      </c>
      <c r="AA66">
        <f t="shared" si="41"/>
        <v>0</v>
      </c>
      <c r="AB66">
        <f t="shared" si="42"/>
        <v>0</v>
      </c>
      <c r="AC66">
        <f t="shared" si="43"/>
        <v>0</v>
      </c>
    </row>
  </sheetData>
  <autoFilter ref="A1:AC66" xr:uid="{00000000-0001-0000-02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PROGRAM</vt:lpstr>
      <vt:lpstr>RAM</vt:lpstr>
      <vt:lpstr>CPU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Zsombor Magyari-Sáska</cp:lastModifiedBy>
  <dcterms:created xsi:type="dcterms:W3CDTF">2025-10-26T21:24:30Z</dcterms:created>
  <dcterms:modified xsi:type="dcterms:W3CDTF">2025-10-27T20:46:06Z</dcterms:modified>
</cp:coreProperties>
</file>